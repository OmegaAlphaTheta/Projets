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mc:AlternateContent xmlns:mc="http://schemas.openxmlformats.org/markup-compatibility/2006">
    <mc:Choice Requires="x15">
      <x15ac:absPath xmlns:x15ac="http://schemas.microsoft.com/office/spreadsheetml/2010/11/ac" url="C:\Users\USER\Desktop\Excel Training\Projets Excel\"/>
    </mc:Choice>
  </mc:AlternateContent>
  <xr:revisionPtr revIDLastSave="0" documentId="13_ncr:1_{7461C420-6386-45B9-A4A7-DD05CD3A7386}" xr6:coauthVersionLast="47" xr6:coauthVersionMax="47" xr10:uidLastSave="{00000000-0000-0000-0000-000000000000}"/>
  <bookViews>
    <workbookView xWindow="-108" yWindow="-108" windowWidth="23256" windowHeight="12456" activeTab="4" xr2:uid="{00000000-000D-0000-FFFF-FFFF00000000}"/>
  </bookViews>
  <sheets>
    <sheet name="Intro" sheetId="4" r:id="rId1"/>
    <sheet name="Cas pratique" sheetId="2" r:id="rId2"/>
    <sheet name="Clients" sheetId="16" r:id="rId3"/>
    <sheet name="Template" sheetId="17" r:id="rId4"/>
    <sheet name="Facturation" sheetId="15" r:id="rId5"/>
  </sheets>
  <definedNames>
    <definedName name="_xlnm._FilterDatabase" localSheetId="1" hidden="1">'Cas pratique'!#REF!</definedName>
    <definedName name="_xlnm._FilterDatabase" localSheetId="2" hidden="1">Clients!$B$4:$D$159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7" i="15" l="1"/>
  <c r="G17" i="15" s="1"/>
  <c r="F16" i="15"/>
  <c r="G16" i="15" s="1"/>
  <c r="F15" i="15"/>
  <c r="G15" i="15" s="1"/>
  <c r="F14" i="15"/>
  <c r="G14" i="15" s="1"/>
  <c r="F13" i="15"/>
  <c r="G13" i="15" s="1"/>
  <c r="F12" i="15"/>
  <c r="G12" i="15" s="1"/>
  <c r="F11" i="15"/>
  <c r="G11" i="15" s="1"/>
  <c r="F10" i="15"/>
  <c r="G10" i="15" s="1"/>
  <c r="F9" i="15"/>
  <c r="G9" i="15" s="1"/>
</calcChain>
</file>

<file path=xl/sharedStrings.xml><?xml version="1.0" encoding="utf-8"?>
<sst xmlns="http://schemas.openxmlformats.org/spreadsheetml/2006/main" count="528" uniqueCount="508">
  <si>
    <t>Caso práctico</t>
  </si>
  <si>
    <t>Detalles del caso práctico</t>
  </si>
  <si>
    <t>CIF</t>
  </si>
  <si>
    <t>Empresa 1</t>
  </si>
  <si>
    <t>Empresa 2</t>
  </si>
  <si>
    <t>Empresa 3</t>
  </si>
  <si>
    <t>Empresa 4</t>
  </si>
  <si>
    <t>Empresa 5</t>
  </si>
  <si>
    <t>Empresa 6</t>
  </si>
  <si>
    <t>Empresa 7</t>
  </si>
  <si>
    <t>Empresa 8</t>
  </si>
  <si>
    <t>Empresa 9</t>
  </si>
  <si>
    <t>Empresa 10</t>
  </si>
  <si>
    <t>Empresa 11</t>
  </si>
  <si>
    <t>Empresa 12</t>
  </si>
  <si>
    <t>Empresa 13</t>
  </si>
  <si>
    <t>Empresa 14</t>
  </si>
  <si>
    <t>Empresa 15</t>
  </si>
  <si>
    <t>Empresa 16</t>
  </si>
  <si>
    <t>Empresa 17</t>
  </si>
  <si>
    <t>Empresa 18</t>
  </si>
  <si>
    <t>Empresa 19</t>
  </si>
  <si>
    <t>Empresa 20</t>
  </si>
  <si>
    <t>Empresa 21</t>
  </si>
  <si>
    <t>Empresa 22</t>
  </si>
  <si>
    <t>Empresa 23</t>
  </si>
  <si>
    <t>Empresa 24</t>
  </si>
  <si>
    <t>Empresa 25</t>
  </si>
  <si>
    <t>Empresa 26</t>
  </si>
  <si>
    <t>Empresa 27</t>
  </si>
  <si>
    <t>Empresa 28</t>
  </si>
  <si>
    <t>Empresa 29</t>
  </si>
  <si>
    <t>Empresa 30</t>
  </si>
  <si>
    <t>Empresa 31</t>
  </si>
  <si>
    <t>Empresa 32</t>
  </si>
  <si>
    <t>Empresa 33</t>
  </si>
  <si>
    <t>Empresa 34</t>
  </si>
  <si>
    <t>Empresa 35</t>
  </si>
  <si>
    <t>Empresa 36</t>
  </si>
  <si>
    <t>Empresa 37</t>
  </si>
  <si>
    <t>Empresa 38</t>
  </si>
  <si>
    <t>Empresa 39</t>
  </si>
  <si>
    <t>Empresa 40</t>
  </si>
  <si>
    <t>Empresa 41</t>
  </si>
  <si>
    <t>Empresa 42</t>
  </si>
  <si>
    <t>Empresa 43</t>
  </si>
  <si>
    <t>Empresa 44</t>
  </si>
  <si>
    <t>Empresa 45</t>
  </si>
  <si>
    <t>Empresa 46</t>
  </si>
  <si>
    <t>Empresa 47</t>
  </si>
  <si>
    <t>Empresa 48</t>
  </si>
  <si>
    <t>Empresa 49</t>
  </si>
  <si>
    <t>Empresa 50</t>
  </si>
  <si>
    <t>Empresa 52</t>
  </si>
  <si>
    <t>Empresa 53</t>
  </si>
  <si>
    <t>Empresa 54</t>
  </si>
  <si>
    <t>Empresa 55</t>
  </si>
  <si>
    <t>Empresa 56</t>
  </si>
  <si>
    <t>Empresa 57</t>
  </si>
  <si>
    <t>Empresa 58</t>
  </si>
  <si>
    <t>Empresa 59</t>
  </si>
  <si>
    <t>Empresa 60</t>
  </si>
  <si>
    <t>Empresa 61</t>
  </si>
  <si>
    <t>Empresa 62</t>
  </si>
  <si>
    <t>Empresa 63</t>
  </si>
  <si>
    <t>Empresa 64</t>
  </si>
  <si>
    <t>Empresa 65</t>
  </si>
  <si>
    <t>Empresa 66</t>
  </si>
  <si>
    <t>Empresa 67</t>
  </si>
  <si>
    <t>Empresa 68</t>
  </si>
  <si>
    <t>Empresa 69</t>
  </si>
  <si>
    <t>Empresa 70</t>
  </si>
  <si>
    <t>Empresa 71</t>
  </si>
  <si>
    <t>Empresa 72</t>
  </si>
  <si>
    <t>Empresa 73</t>
  </si>
  <si>
    <t>Empresa 74</t>
  </si>
  <si>
    <t>Empresa 75</t>
  </si>
  <si>
    <t>Empresa 76</t>
  </si>
  <si>
    <t>Empresa 77</t>
  </si>
  <si>
    <t>Empresa 78</t>
  </si>
  <si>
    <t>Empresa 79</t>
  </si>
  <si>
    <t>Empresa 80</t>
  </si>
  <si>
    <t>Empresa 81</t>
  </si>
  <si>
    <t>Empresa 82</t>
  </si>
  <si>
    <t>Empresa 83</t>
  </si>
  <si>
    <t>Empresa 84</t>
  </si>
  <si>
    <t>Empresa 85</t>
  </si>
  <si>
    <t>Empresa 86</t>
  </si>
  <si>
    <t>Empresa 87</t>
  </si>
  <si>
    <t>Empresa 88</t>
  </si>
  <si>
    <t>Empresa 89</t>
  </si>
  <si>
    <t>Empresa 90</t>
  </si>
  <si>
    <t>Empresa 91</t>
  </si>
  <si>
    <t>Empresa 92</t>
  </si>
  <si>
    <t>Empresa 93</t>
  </si>
  <si>
    <t>Empresa 94</t>
  </si>
  <si>
    <t>Empresa 95</t>
  </si>
  <si>
    <t>Empresa 96</t>
  </si>
  <si>
    <t>Empresa 97</t>
  </si>
  <si>
    <t>Empresa 98</t>
  </si>
  <si>
    <t>Empresa 99</t>
  </si>
  <si>
    <t>Empresa 100</t>
  </si>
  <si>
    <t>Empresa 101</t>
  </si>
  <si>
    <t>Empresa 102</t>
  </si>
  <si>
    <t>Empresa 103</t>
  </si>
  <si>
    <t>Empresa 104</t>
  </si>
  <si>
    <t>Empresa 105</t>
  </si>
  <si>
    <t>Empresa 106</t>
  </si>
  <si>
    <t>Empresa 107</t>
  </si>
  <si>
    <t>Empresa 108</t>
  </si>
  <si>
    <t>Empresa 109</t>
  </si>
  <si>
    <t>Empresa 110</t>
  </si>
  <si>
    <t>Empresa 111</t>
  </si>
  <si>
    <t>Empresa 112</t>
  </si>
  <si>
    <t>Empresa 113</t>
  </si>
  <si>
    <t>Empresa 114</t>
  </si>
  <si>
    <t>Empresa 115</t>
  </si>
  <si>
    <t>Empresa 116</t>
  </si>
  <si>
    <t>Empresa 117</t>
  </si>
  <si>
    <t>Empresa 118</t>
  </si>
  <si>
    <t>Empresa 119</t>
  </si>
  <si>
    <t>Empresa 120</t>
  </si>
  <si>
    <t>Empresa 121</t>
  </si>
  <si>
    <t>Empresa 122</t>
  </si>
  <si>
    <t>Empresa 123</t>
  </si>
  <si>
    <t>Empresa 124</t>
  </si>
  <si>
    <t>Empresa 125</t>
  </si>
  <si>
    <t>Empresa 126</t>
  </si>
  <si>
    <t>Empresa 127</t>
  </si>
  <si>
    <t>Empresa 128</t>
  </si>
  <si>
    <t>Empresa 129</t>
  </si>
  <si>
    <t>Empresa 130</t>
  </si>
  <si>
    <t>Empresa 131</t>
  </si>
  <si>
    <t>Empresa 132</t>
  </si>
  <si>
    <t>Empresa 133</t>
  </si>
  <si>
    <t>Empresa 134</t>
  </si>
  <si>
    <t>Empresa 135</t>
  </si>
  <si>
    <t>Empresa 136</t>
  </si>
  <si>
    <t>Empresa 137</t>
  </si>
  <si>
    <t>Empresa 138</t>
  </si>
  <si>
    <t>Empresa 139</t>
  </si>
  <si>
    <t>Empresa 140</t>
  </si>
  <si>
    <t>Empresa 141</t>
  </si>
  <si>
    <t>Empresa 142</t>
  </si>
  <si>
    <t>Empresa 143</t>
  </si>
  <si>
    <t>Empresa 144</t>
  </si>
  <si>
    <t>Empresa 145</t>
  </si>
  <si>
    <t>Empresa 146</t>
  </si>
  <si>
    <t>Empresa 147</t>
  </si>
  <si>
    <t>Empresa 148</t>
  </si>
  <si>
    <t>Empresa 149</t>
  </si>
  <si>
    <t>Empresa 150</t>
  </si>
  <si>
    <t>Empresa 151</t>
  </si>
  <si>
    <t>Empresa 152</t>
  </si>
  <si>
    <t>Empresa 153</t>
  </si>
  <si>
    <t>Empresa 154</t>
  </si>
  <si>
    <t>Empresa 155</t>
  </si>
  <si>
    <t>2622328-B</t>
  </si>
  <si>
    <t>3431916-B</t>
  </si>
  <si>
    <t>4288292-B</t>
  </si>
  <si>
    <t>3381703-B</t>
  </si>
  <si>
    <t>4185762-B</t>
  </si>
  <si>
    <t>2019352-B</t>
  </si>
  <si>
    <t>4847847-B</t>
  </si>
  <si>
    <t>2413764-B</t>
  </si>
  <si>
    <t>4526527-B</t>
  </si>
  <si>
    <t>4276250-B</t>
  </si>
  <si>
    <t>2144095-B</t>
  </si>
  <si>
    <t>4945472-B</t>
  </si>
  <si>
    <t>2899216-B</t>
  </si>
  <si>
    <t>2245750-B</t>
  </si>
  <si>
    <t>4250413-B</t>
  </si>
  <si>
    <t>3144994-B</t>
  </si>
  <si>
    <t>4183897-B</t>
  </si>
  <si>
    <t>2251870-B</t>
  </si>
  <si>
    <t>2277147-B</t>
  </si>
  <si>
    <t>4766909-B</t>
  </si>
  <si>
    <t>4534188-B</t>
  </si>
  <si>
    <t>2907127-B</t>
  </si>
  <si>
    <t>2133189-B</t>
  </si>
  <si>
    <t>3037946-B</t>
  </si>
  <si>
    <t>4747484-B</t>
  </si>
  <si>
    <t>3217770-B</t>
  </si>
  <si>
    <t>3104171-B</t>
  </si>
  <si>
    <t>4228789-B</t>
  </si>
  <si>
    <t>2086250-B</t>
  </si>
  <si>
    <t>2851189-B</t>
  </si>
  <si>
    <t>2014142-B</t>
  </si>
  <si>
    <t>4659653-B</t>
  </si>
  <si>
    <t>2795428-B</t>
  </si>
  <si>
    <t>4781992-B</t>
  </si>
  <si>
    <t>3823750-B</t>
  </si>
  <si>
    <t>2967116-B</t>
  </si>
  <si>
    <t>3789909-B</t>
  </si>
  <si>
    <t>4600521-B</t>
  </si>
  <si>
    <t>2787514-B</t>
  </si>
  <si>
    <t>4041933-B</t>
  </si>
  <si>
    <t>3490360-B</t>
  </si>
  <si>
    <t>2827785-B</t>
  </si>
  <si>
    <t>4177256-B</t>
  </si>
  <si>
    <t>3218420-B</t>
  </si>
  <si>
    <t>2262279-B</t>
  </si>
  <si>
    <t>2722659-B</t>
  </si>
  <si>
    <t>2952463-B</t>
  </si>
  <si>
    <t>4981382-B</t>
  </si>
  <si>
    <t>2094379-B</t>
  </si>
  <si>
    <t>3045283-B</t>
  </si>
  <si>
    <t>3443060-B</t>
  </si>
  <si>
    <t>2606978-B</t>
  </si>
  <si>
    <t>3617742-B</t>
  </si>
  <si>
    <t>4417341-B</t>
  </si>
  <si>
    <t>2065322-B</t>
  </si>
  <si>
    <t>3097660-B</t>
  </si>
  <si>
    <t>3516038-B</t>
  </si>
  <si>
    <t>2236560-B</t>
  </si>
  <si>
    <t>4800954-B</t>
  </si>
  <si>
    <t>3438376-B</t>
  </si>
  <si>
    <t>2461509-B</t>
  </si>
  <si>
    <t>4965698-B</t>
  </si>
  <si>
    <t>2551540-B</t>
  </si>
  <si>
    <t>3975686-B</t>
  </si>
  <si>
    <t>2959665-B</t>
  </si>
  <si>
    <t>2546812-B</t>
  </si>
  <si>
    <t>3405205-B</t>
  </si>
  <si>
    <t>3231211-B</t>
  </si>
  <si>
    <t>3572092-B</t>
  </si>
  <si>
    <t>3815046-B</t>
  </si>
  <si>
    <t>4842962-B</t>
  </si>
  <si>
    <t>3903383-B</t>
  </si>
  <si>
    <t>2019024-B</t>
  </si>
  <si>
    <t>4036648-B</t>
  </si>
  <si>
    <t>3725505-B</t>
  </si>
  <si>
    <t>4300962-B</t>
  </si>
  <si>
    <t>3118128-B</t>
  </si>
  <si>
    <t>3916928-B</t>
  </si>
  <si>
    <t>3463075-B</t>
  </si>
  <si>
    <t>2130598-B</t>
  </si>
  <si>
    <t>3718682-B</t>
  </si>
  <si>
    <t>4384058-B</t>
  </si>
  <si>
    <t>3761810-B</t>
  </si>
  <si>
    <t>3604220-B</t>
  </si>
  <si>
    <t>4465222-B</t>
  </si>
  <si>
    <t>3748605-B</t>
  </si>
  <si>
    <t>4548069-B</t>
  </si>
  <si>
    <t>3734559-B</t>
  </si>
  <si>
    <t>2741474-B</t>
  </si>
  <si>
    <t>2449509-B</t>
  </si>
  <si>
    <t>4823386-B</t>
  </si>
  <si>
    <t>3249006-B</t>
  </si>
  <si>
    <t>4651397-B</t>
  </si>
  <si>
    <t>2021869-B</t>
  </si>
  <si>
    <t>3857834-B</t>
  </si>
  <si>
    <t>2492506-B</t>
  </si>
  <si>
    <t>4435311-B</t>
  </si>
  <si>
    <t>3106155-B</t>
  </si>
  <si>
    <t>2578229-B</t>
  </si>
  <si>
    <t>4521324-B</t>
  </si>
  <si>
    <t>4843120-B</t>
  </si>
  <si>
    <t>2927987-B</t>
  </si>
  <si>
    <t>2239571-B</t>
  </si>
  <si>
    <t>4067595-B</t>
  </si>
  <si>
    <t>2907003-B</t>
  </si>
  <si>
    <t>2728293-B</t>
  </si>
  <si>
    <t>2528753-B</t>
  </si>
  <si>
    <t>3936364-B</t>
  </si>
  <si>
    <t>2048060-B</t>
  </si>
  <si>
    <t>4082078-B</t>
  </si>
  <si>
    <t>2679666-B</t>
  </si>
  <si>
    <t>2181857-B</t>
  </si>
  <si>
    <t>4699623-B</t>
  </si>
  <si>
    <t>3914656-B</t>
  </si>
  <si>
    <t>3984871-B</t>
  </si>
  <si>
    <t>3407736-B</t>
  </si>
  <si>
    <t>3068284-B</t>
  </si>
  <si>
    <t>3869103-B</t>
  </si>
  <si>
    <t>2839077-B</t>
  </si>
  <si>
    <t>3517915-B</t>
  </si>
  <si>
    <t>4315195-B</t>
  </si>
  <si>
    <t>3193852-B</t>
  </si>
  <si>
    <t>2489472-B</t>
  </si>
  <si>
    <t>4661787-B</t>
  </si>
  <si>
    <t>4489838-B</t>
  </si>
  <si>
    <t>4519520-B</t>
  </si>
  <si>
    <t>2501038-B</t>
  </si>
  <si>
    <t>2460925-B</t>
  </si>
  <si>
    <t>2730269-B</t>
  </si>
  <si>
    <t>3905899-B</t>
  </si>
  <si>
    <t>4087178-B</t>
  </si>
  <si>
    <t>2042474-B</t>
  </si>
  <si>
    <t>3276424-B</t>
  </si>
  <si>
    <t>3808479-B</t>
  </si>
  <si>
    <t>4411356-B</t>
  </si>
  <si>
    <t>4588736-B</t>
  </si>
  <si>
    <t>2214176-B</t>
  </si>
  <si>
    <t>2912998-B</t>
  </si>
  <si>
    <t>4098842-B</t>
  </si>
  <si>
    <t>3817485-B</t>
  </si>
  <si>
    <t>4584137-B</t>
  </si>
  <si>
    <t>2786526-B</t>
  </si>
  <si>
    <t>3624834-B</t>
  </si>
  <si>
    <t>2110827-B</t>
  </si>
  <si>
    <t>3911753-B</t>
  </si>
  <si>
    <t>4748415-B</t>
  </si>
  <si>
    <t>2476261-B</t>
  </si>
  <si>
    <t>4861096-B</t>
  </si>
  <si>
    <t>3099241-B</t>
  </si>
  <si>
    <t>3351692-B</t>
  </si>
  <si>
    <t>4706584-B</t>
  </si>
  <si>
    <t>4898387-B</t>
  </si>
  <si>
    <t>2104587-B</t>
  </si>
  <si>
    <t>4133581-B</t>
  </si>
  <si>
    <t>2397113-B</t>
  </si>
  <si>
    <t>Calle 1</t>
  </si>
  <si>
    <t>Calle 8</t>
  </si>
  <si>
    <t>Calle 6</t>
  </si>
  <si>
    <t>Calle 9</t>
  </si>
  <si>
    <t>Calle 3</t>
  </si>
  <si>
    <t>Calle 5</t>
  </si>
  <si>
    <t>Calle 2</t>
  </si>
  <si>
    <t>Calle 4</t>
  </si>
  <si>
    <t>Calle 7</t>
  </si>
  <si>
    <t>Calle 10</t>
  </si>
  <si>
    <t>Calle 11</t>
  </si>
  <si>
    <t>Calle 12</t>
  </si>
  <si>
    <t>Calle 13</t>
  </si>
  <si>
    <t>Calle 14</t>
  </si>
  <si>
    <t>Calle 15</t>
  </si>
  <si>
    <t>Calle 16</t>
  </si>
  <si>
    <t>Calle 17</t>
  </si>
  <si>
    <t>Calle 18</t>
  </si>
  <si>
    <t>Calle 19</t>
  </si>
  <si>
    <t>Calle 20</t>
  </si>
  <si>
    <t>Calle 21</t>
  </si>
  <si>
    <t>Calle 22</t>
  </si>
  <si>
    <t>Calle 23</t>
  </si>
  <si>
    <t>Calle 24</t>
  </si>
  <si>
    <t>Calle 25</t>
  </si>
  <si>
    <t>Calle 26</t>
  </si>
  <si>
    <t>Calle 27</t>
  </si>
  <si>
    <t>Calle 28</t>
  </si>
  <si>
    <t>Calle 29</t>
  </si>
  <si>
    <t>Calle 30</t>
  </si>
  <si>
    <t>Calle 31</t>
  </si>
  <si>
    <t>Calle 32</t>
  </si>
  <si>
    <t>Calle 33</t>
  </si>
  <si>
    <t>Calle 34</t>
  </si>
  <si>
    <t>Calle 35</t>
  </si>
  <si>
    <t>Calle 36</t>
  </si>
  <si>
    <t>Calle 37</t>
  </si>
  <si>
    <t>Calle 38</t>
  </si>
  <si>
    <t>Calle 39</t>
  </si>
  <si>
    <t>Calle 40</t>
  </si>
  <si>
    <t>Calle 41</t>
  </si>
  <si>
    <t>Calle 42</t>
  </si>
  <si>
    <t>Calle 43</t>
  </si>
  <si>
    <t>Calle 44</t>
  </si>
  <si>
    <t>Calle 45</t>
  </si>
  <si>
    <t>Calle 46</t>
  </si>
  <si>
    <t>Calle 47</t>
  </si>
  <si>
    <t>Calle 48</t>
  </si>
  <si>
    <t>Calle 49</t>
  </si>
  <si>
    <t>Calle 50</t>
  </si>
  <si>
    <t>Calle 51</t>
  </si>
  <si>
    <t>Calle 52</t>
  </si>
  <si>
    <t>Calle 53</t>
  </si>
  <si>
    <t>Calle 54</t>
  </si>
  <si>
    <t>Calle 55</t>
  </si>
  <si>
    <t>Calle 56</t>
  </si>
  <si>
    <t>Calle 57</t>
  </si>
  <si>
    <t>Calle 58</t>
  </si>
  <si>
    <t>Calle 59</t>
  </si>
  <si>
    <t>Calle 60</t>
  </si>
  <si>
    <t>Calle 61</t>
  </si>
  <si>
    <t>Calle 62</t>
  </si>
  <si>
    <t>Calle 63</t>
  </si>
  <si>
    <t>Calle 64</t>
  </si>
  <si>
    <t>Calle 65</t>
  </si>
  <si>
    <t>Calle 66</t>
  </si>
  <si>
    <t>Calle 67</t>
  </si>
  <si>
    <t>Calle 68</t>
  </si>
  <si>
    <t>Calle 69</t>
  </si>
  <si>
    <t>Calle 70</t>
  </si>
  <si>
    <t>Calle 71</t>
  </si>
  <si>
    <t>Calle 72</t>
  </si>
  <si>
    <t>Calle 73</t>
  </si>
  <si>
    <t>Calle 74</t>
  </si>
  <si>
    <t>Calle 75</t>
  </si>
  <si>
    <t>Calle 76</t>
  </si>
  <si>
    <t>Calle 77</t>
  </si>
  <si>
    <t>Calle 78</t>
  </si>
  <si>
    <t>Calle 79</t>
  </si>
  <si>
    <t>Calle 80</t>
  </si>
  <si>
    <t>Calle 81</t>
  </si>
  <si>
    <t>Calle 82</t>
  </si>
  <si>
    <t>Calle 83</t>
  </si>
  <si>
    <t>Calle 84</t>
  </si>
  <si>
    <t>Calle 85</t>
  </si>
  <si>
    <t>Calle 86</t>
  </si>
  <si>
    <t>Calle 87</t>
  </si>
  <si>
    <t>Calle 88</t>
  </si>
  <si>
    <t>Calle 89</t>
  </si>
  <si>
    <t>Calle 90</t>
  </si>
  <si>
    <t>Calle 91</t>
  </si>
  <si>
    <t>Calle 92</t>
  </si>
  <si>
    <t>Calle 93</t>
  </si>
  <si>
    <t>Calle 94</t>
  </si>
  <si>
    <t>Calle 95</t>
  </si>
  <si>
    <t>Calle 96</t>
  </si>
  <si>
    <t>Calle 97</t>
  </si>
  <si>
    <t>Calle 98</t>
  </si>
  <si>
    <t>Calle 99</t>
  </si>
  <si>
    <t>Calle 100</t>
  </si>
  <si>
    <t>Calle 101</t>
  </si>
  <si>
    <t>Calle 102</t>
  </si>
  <si>
    <t>Calle 103</t>
  </si>
  <si>
    <t>Calle 104</t>
  </si>
  <si>
    <t>Calle 105</t>
  </si>
  <si>
    <t>Calle 106</t>
  </si>
  <si>
    <t>Calle 107</t>
  </si>
  <si>
    <t>Calle 108</t>
  </si>
  <si>
    <t>Calle 109</t>
  </si>
  <si>
    <t>Calle 110</t>
  </si>
  <si>
    <t>Calle 111</t>
  </si>
  <si>
    <t>Calle 112</t>
  </si>
  <si>
    <t>Calle 113</t>
  </si>
  <si>
    <t>Calle 114</t>
  </si>
  <si>
    <t>Calle 115</t>
  </si>
  <si>
    <t>Calle 116</t>
  </si>
  <si>
    <t>Calle 117</t>
  </si>
  <si>
    <t>Calle 118</t>
  </si>
  <si>
    <t>Calle 119</t>
  </si>
  <si>
    <t>Calle 120</t>
  </si>
  <si>
    <t>Calle 121</t>
  </si>
  <si>
    <t>Calle 122</t>
  </si>
  <si>
    <t>Calle 123</t>
  </si>
  <si>
    <t>Calle 124</t>
  </si>
  <si>
    <t>Calle 125</t>
  </si>
  <si>
    <t>Calle 126</t>
  </si>
  <si>
    <t>Calle 127</t>
  </si>
  <si>
    <t>Calle 128</t>
  </si>
  <si>
    <t>Calle 129</t>
  </si>
  <si>
    <t>Calle 130</t>
  </si>
  <si>
    <t>Calle 131</t>
  </si>
  <si>
    <t>Calle 132</t>
  </si>
  <si>
    <t>Calle 133</t>
  </si>
  <si>
    <t>Calle 134</t>
  </si>
  <si>
    <t>Calle 135</t>
  </si>
  <si>
    <t>Calle 136</t>
  </si>
  <si>
    <t>Calle 137</t>
  </si>
  <si>
    <t>Calle 138</t>
  </si>
  <si>
    <t>Calle 139</t>
  </si>
  <si>
    <t>Calle 140</t>
  </si>
  <si>
    <t>Calle 141</t>
  </si>
  <si>
    <t>Calle 142</t>
  </si>
  <si>
    <t>Calle 143</t>
  </si>
  <si>
    <t>Calle 144</t>
  </si>
  <si>
    <t>Calle 145</t>
  </si>
  <si>
    <t>Calle 146</t>
  </si>
  <si>
    <t>Calle 147</t>
  </si>
  <si>
    <t>Calle 148</t>
  </si>
  <si>
    <t>Calle 149</t>
  </si>
  <si>
    <t>Calle 150</t>
  </si>
  <si>
    <t>Calle 151</t>
  </si>
  <si>
    <t>Calle 152</t>
  </si>
  <si>
    <t>Calle 153</t>
  </si>
  <si>
    <t>Calle 154</t>
  </si>
  <si>
    <t>Calle 155</t>
  </si>
  <si>
    <t>TOTAL</t>
  </si>
  <si>
    <t>Servicios Corporativos</t>
  </si>
  <si>
    <t>Asesoramiento</t>
  </si>
  <si>
    <t>Consejería</t>
  </si>
  <si>
    <t>WorkSmart Training SL</t>
  </si>
  <si>
    <t>Datos Fiscales:</t>
  </si>
  <si>
    <t>Madrid, Spain</t>
  </si>
  <si>
    <t>Dirección envío facturas:</t>
  </si>
  <si>
    <t>E-mail</t>
  </si>
  <si>
    <t>Términos de pago: en efectivo en las oficinas de pago correspondientes</t>
  </si>
  <si>
    <t>En la hoja "Facturación" se encuentra el desglose de las facturas de una empresa a diferentes clientes. La datos de facturación de clientes se encuentran en la hoja "Clientes".</t>
  </si>
  <si>
    <t>Se solicita:</t>
  </si>
  <si>
    <t>4. Añadir en la macro los datos de la empresa (domicilio y CIF).</t>
  </si>
  <si>
    <t>Auditoría</t>
  </si>
  <si>
    <t>Asesoría Fiscal</t>
  </si>
  <si>
    <t>Avanzado</t>
  </si>
  <si>
    <t>2. Añadir a la macro anterior las instrucciones correspondientes para que copie la hoja "Plantilla" en una hoja nueva. Renombrar la hoja con el número de factura.</t>
  </si>
  <si>
    <r>
      <t>Nota: utilizar la instrucción siguiente para copiar y pegar la hoja Excel: "Worksheets("</t>
    </r>
    <r>
      <rPr>
        <i/>
        <sz val="11"/>
        <color rgb="FFFF0000"/>
        <rFont val="Calibri"/>
        <family val="2"/>
        <scheme val="minor"/>
      </rPr>
      <t>nombre de la hoja</t>
    </r>
    <r>
      <rPr>
        <i/>
        <sz val="11"/>
        <color theme="1"/>
        <rFont val="Calibri"/>
        <family val="2"/>
        <scheme val="minor"/>
      </rPr>
      <t>").Copy After:=Sheets(Sheets.Count)"</t>
    </r>
  </si>
  <si>
    <r>
      <t>Nota: utilizar la instrucción siguiente para imprimir en pdf "ActiveSheet.ExportAsFixedFormat Type:=xlTypePDF, Filename:=</t>
    </r>
    <r>
      <rPr>
        <i/>
        <sz val="11"/>
        <color rgb="FFFF0000"/>
        <rFont val="Calibri"/>
        <family val="2"/>
        <scheme val="minor"/>
      </rPr>
      <t>nombre del archivo(incluida la ruta)</t>
    </r>
    <r>
      <rPr>
        <i/>
        <sz val="11"/>
        <color theme="1"/>
        <rFont val="Calibri"/>
        <family val="2"/>
        <scheme val="minor"/>
      </rPr>
      <t>"</t>
    </r>
  </si>
  <si>
    <t>Nota: utilizar la instrucción siguiente para obtener la ruta donde guardar el archivo "ruta = ActiveWorkbook.Path &amp; "\""</t>
  </si>
  <si>
    <t>7. Modificar el código de la macro inicial para que permita generar varias facturas a la vez, utilizando dos variables: factura inicial y factura final.</t>
  </si>
  <si>
    <t>3. Añadir en la macro los datos de la línea de facturación (Concepto, importe, IVA, TOTAL y número de factura).</t>
  </si>
  <si>
    <t xml:space="preserve">El objetivo final es crear una macro que genere una hoja Excel para cada factura, y que la imprima en PDF. </t>
  </si>
  <si>
    <t>6. Utilizar el botón existente en la hoja "Plantilla" para asignarle una macro (Macro 2, distinta a la anterior) que permita imprimir la factura en PDF.</t>
  </si>
  <si>
    <t>8. Insertar un formulario que sustituya al "InputBox" creado en el apartado 1 que solicite el rango de facturas que se desea generar (factura inicial y factura final).</t>
  </si>
  <si>
    <t>9. Añadir mecanismos de control para evitar errores en las macros, como por ejemplo, que la factura inicial sea menor que la factura final.</t>
  </si>
  <si>
    <t>1. Crear una macro que genere un "Inputbox" que pida al usuario el número de factura que desea generar. Asignar la macro al botón existente en la hoja "Facturación" (llamado "Generador de facturas").</t>
  </si>
  <si>
    <t>Capítulo 2: Programación en Visual Basic</t>
  </si>
  <si>
    <t>Empresa 51</t>
  </si>
  <si>
    <t>5. Sacar por pantalla un mensaje que informe al usuario que su factura se ha creado con éxito.</t>
  </si>
  <si>
    <t>Données de factures des clients</t>
  </si>
  <si>
    <t>Adresse</t>
  </si>
  <si>
    <t>Nom</t>
  </si>
  <si>
    <t>Numéro de facture :</t>
  </si>
  <si>
    <t>TVA</t>
  </si>
  <si>
    <t xml:space="preserve">Numéro de facture </t>
  </si>
  <si>
    <t>Client</t>
  </si>
  <si>
    <t>TVA (21%)</t>
  </si>
  <si>
    <t>Secteur</t>
  </si>
  <si>
    <t>Montant</t>
  </si>
  <si>
    <t>Feuille de facturation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</si>
</sst>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8" formatCode="#,##0.00\ &quot;€&quot;;[Red]\-#,##0.00\ &quot;€&quot;"/>
    <numFmt numFmtId="44" formatCode="_-* #,##0.00\ &quot;€&quot;_-;\-* #,##0.00\ &quot;€&quot;_-;_-* &quot;-&quot;??\ &quot;€&quot;_-;_-@_-"/>
    <numFmt numFmtId="164" formatCode="_-* #,##0\ &quot;€&quot;_-;\-* #,##0\ &quot;€&quot;_-;_-* &quot;-&quot;??\ &quot;€&quot;_-;_-@_-"/>
    <numFmt numFmtId="165" formatCode="#,##0.00\ &quot;€&quot;"/>
    <numFmt numFmtId="166" formatCode="#,##0.000\ &quot;€&quot;"/>
  </numFmts>
  <fonts count="23" x14ac:knownFonts="1">
    <font>
      <sz val="11"/>
      <color theme="1"/>
      <name val="Calibri"/>
      <family val="2"/>
      <scheme val="minor"/>
    </font>
    <font>
      <b/>
      <sz val="11"/>
      <color theme="1"/>
      <name val="Calibri"/>
      <family val="2"/>
      <scheme val="minor"/>
    </font>
    <font>
      <sz val="11"/>
      <color theme="1"/>
      <name val="Calibri"/>
      <family val="2"/>
      <scheme val="minor"/>
    </font>
    <font>
      <sz val="11"/>
      <name val="Calibri"/>
      <family val="2"/>
      <scheme val="minor"/>
    </font>
    <font>
      <sz val="12"/>
      <name val="Trebuchet MS"/>
      <family val="2"/>
    </font>
    <font>
      <sz val="14"/>
      <color theme="1"/>
      <name val="Arial Black"/>
      <family val="2"/>
    </font>
    <font>
      <b/>
      <sz val="14"/>
      <color theme="1"/>
      <name val="Arial Black"/>
      <family val="2"/>
    </font>
    <font>
      <b/>
      <sz val="22"/>
      <color rgb="FF449A04"/>
      <name val="Trebuchet MS"/>
      <family val="2"/>
    </font>
    <font>
      <b/>
      <sz val="16"/>
      <color rgb="FFFF9900"/>
      <name val="Trebuchet MS"/>
      <family val="2"/>
    </font>
    <font>
      <b/>
      <u/>
      <sz val="11"/>
      <color theme="1"/>
      <name val="Calibri"/>
      <family val="2"/>
      <scheme val="minor"/>
    </font>
    <font>
      <sz val="10"/>
      <name val="Century Gothic"/>
      <family val="2"/>
    </font>
    <font>
      <sz val="8"/>
      <color theme="0"/>
      <name val="Century Gothic"/>
      <family val="2"/>
    </font>
    <font>
      <b/>
      <sz val="10"/>
      <name val="Century Gothic"/>
      <family val="2"/>
    </font>
    <font>
      <sz val="8"/>
      <color theme="0" tint="-0.499984740745262"/>
      <name val="Century Gothic"/>
      <family val="2"/>
    </font>
    <font>
      <sz val="10"/>
      <color rgb="FFFF0000"/>
      <name val="Century Gothic"/>
      <family val="2"/>
    </font>
    <font>
      <sz val="8"/>
      <name val="Century Gothic"/>
      <family val="2"/>
    </font>
    <font>
      <sz val="8"/>
      <name val="Arial"/>
      <family val="2"/>
    </font>
    <font>
      <sz val="8"/>
      <color theme="1" tint="0.499984740745262"/>
      <name val="Century Gothic"/>
      <family val="2"/>
    </font>
    <font>
      <sz val="10"/>
      <name val="Arial"/>
      <family val="2"/>
    </font>
    <font>
      <b/>
      <sz val="9"/>
      <color theme="1" tint="0.499984740745262"/>
      <name val="Century Gothic"/>
      <family val="2"/>
    </font>
    <font>
      <sz val="11"/>
      <color rgb="FF000000"/>
      <name val="Calibri"/>
      <family val="2"/>
    </font>
    <font>
      <i/>
      <sz val="11"/>
      <color theme="1"/>
      <name val="Calibri"/>
      <family val="2"/>
      <scheme val="minor"/>
    </font>
    <font>
      <i/>
      <sz val="11"/>
      <color rgb="FFFF0000"/>
      <name val="Calibri"/>
      <family val="2"/>
      <scheme val="minor"/>
    </font>
  </fonts>
  <fills count="8">
    <fill>
      <patternFill patternType="none"/>
    </fill>
    <fill>
      <patternFill patternType="gray125"/>
    </fill>
    <fill>
      <patternFill patternType="solid">
        <fgColor rgb="FFFFFFCC"/>
      </patternFill>
    </fill>
    <fill>
      <patternFill patternType="solid">
        <fgColor theme="0"/>
        <bgColor indexed="64"/>
      </patternFill>
    </fill>
    <fill>
      <patternFill patternType="solid">
        <fgColor theme="5"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style="thin">
        <color rgb="FFB2B2B2"/>
      </left>
      <right style="thin">
        <color rgb="FFB2B2B2"/>
      </right>
      <top style="thin">
        <color rgb="FFB2B2B2"/>
      </top>
      <bottom style="thin">
        <color rgb="FFB2B2B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theme="0" tint="-0.499984740745262"/>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s>
  <cellStyleXfs count="3">
    <xf numFmtId="0" fontId="0" fillId="0" borderId="0"/>
    <xf numFmtId="0" fontId="2" fillId="2" borderId="1" applyNumberFormat="0" applyFont="0" applyAlignment="0" applyProtection="0"/>
    <xf numFmtId="44" fontId="2" fillId="0" borderId="0" applyFont="0" applyFill="0" applyBorder="0" applyAlignment="0" applyProtection="0"/>
  </cellStyleXfs>
  <cellXfs count="80">
    <xf numFmtId="0" fontId="0" fillId="0" borderId="0" xfId="0"/>
    <xf numFmtId="0" fontId="0" fillId="0" borderId="0" xfId="0" quotePrefix="1"/>
    <xf numFmtId="0" fontId="0" fillId="3" borderId="2" xfId="0" applyFill="1" applyBorder="1"/>
    <xf numFmtId="0" fontId="0" fillId="3" borderId="3" xfId="0" applyFill="1" applyBorder="1"/>
    <xf numFmtId="0" fontId="0" fillId="3" borderId="4" xfId="0" applyFill="1" applyBorder="1"/>
    <xf numFmtId="0" fontId="0" fillId="3" borderId="0" xfId="0" applyFill="1"/>
    <xf numFmtId="0" fontId="0" fillId="3" borderId="5" xfId="0" applyFill="1" applyBorder="1"/>
    <xf numFmtId="0" fontId="0" fillId="3" borderId="6" xfId="0" applyFill="1" applyBorder="1"/>
    <xf numFmtId="0" fontId="3" fillId="3" borderId="0" xfId="0" applyFont="1" applyFill="1"/>
    <xf numFmtId="17" fontId="4" fillId="3" borderId="0" xfId="0" quotePrefix="1" applyNumberFormat="1" applyFont="1" applyFill="1"/>
    <xf numFmtId="0" fontId="5" fillId="3" borderId="0" xfId="0" applyFont="1" applyFill="1"/>
    <xf numFmtId="0" fontId="6" fillId="3" borderId="0" xfId="0" applyFont="1" applyFill="1"/>
    <xf numFmtId="0" fontId="0" fillId="3" borderId="7" xfId="0" applyFill="1" applyBorder="1"/>
    <xf numFmtId="0" fontId="0" fillId="3" borderId="8" xfId="0" applyFill="1" applyBorder="1"/>
    <xf numFmtId="0" fontId="0" fillId="3" borderId="9" xfId="0" applyFill="1" applyBorder="1"/>
    <xf numFmtId="0" fontId="8" fillId="3" borderId="0" xfId="0" applyFont="1" applyFill="1"/>
    <xf numFmtId="0" fontId="1" fillId="0" borderId="0" xfId="0" applyFont="1"/>
    <xf numFmtId="0" fontId="9" fillId="0" borderId="0" xfId="0" applyFont="1"/>
    <xf numFmtId="1" fontId="0" fillId="0" borderId="0" xfId="1" applyNumberFormat="1" applyFont="1" applyFill="1" applyBorder="1"/>
    <xf numFmtId="1" fontId="0" fillId="0" borderId="0" xfId="0" applyNumberFormat="1"/>
    <xf numFmtId="0" fontId="0" fillId="4" borderId="0" xfId="0" applyFill="1"/>
    <xf numFmtId="0" fontId="1" fillId="4" borderId="0" xfId="0" applyFont="1" applyFill="1"/>
    <xf numFmtId="0" fontId="1" fillId="5" borderId="10" xfId="0" applyFont="1" applyFill="1" applyBorder="1" applyAlignment="1">
      <alignment horizontal="center" vertical="center"/>
    </xf>
    <xf numFmtId="0" fontId="0" fillId="0" borderId="11" xfId="0" applyBorder="1"/>
    <xf numFmtId="0" fontId="0" fillId="0" borderId="12" xfId="0" applyBorder="1"/>
    <xf numFmtId="0" fontId="0" fillId="0" borderId="11" xfId="0" applyBorder="1" applyAlignment="1">
      <alignment horizontal="center"/>
    </xf>
    <xf numFmtId="0" fontId="0" fillId="0" borderId="12" xfId="0" applyBorder="1" applyAlignment="1">
      <alignment horizontal="center"/>
    </xf>
    <xf numFmtId="164" fontId="0" fillId="0" borderId="11" xfId="2" applyNumberFormat="1" applyFont="1" applyBorder="1"/>
    <xf numFmtId="164" fontId="0" fillId="0" borderId="12" xfId="2" applyNumberFormat="1" applyFont="1" applyBorder="1"/>
    <xf numFmtId="0" fontId="10" fillId="3" borderId="0" xfId="0" applyFont="1" applyFill="1"/>
    <xf numFmtId="0" fontId="11" fillId="3" borderId="0" xfId="0" applyFont="1" applyFill="1"/>
    <xf numFmtId="0" fontId="10" fillId="3" borderId="0" xfId="0" applyFont="1" applyFill="1" applyAlignment="1">
      <alignment vertical="top"/>
    </xf>
    <xf numFmtId="14" fontId="12" fillId="3" borderId="0" xfId="0" applyNumberFormat="1" applyFont="1" applyFill="1"/>
    <xf numFmtId="0" fontId="12" fillId="3" borderId="0" xfId="0" applyFont="1" applyFill="1"/>
    <xf numFmtId="0" fontId="13" fillId="3" borderId="0" xfId="0" applyFont="1" applyFill="1" applyAlignment="1">
      <alignment horizontal="left"/>
    </xf>
    <xf numFmtId="0" fontId="13" fillId="3" borderId="0" xfId="0" applyFont="1" applyFill="1" applyAlignment="1">
      <alignment horizontal="center"/>
    </xf>
    <xf numFmtId="0" fontId="15" fillId="3" borderId="0" xfId="0" applyFont="1" applyFill="1" applyAlignment="1">
      <alignment horizontal="center"/>
    </xf>
    <xf numFmtId="0" fontId="14" fillId="3" borderId="0" xfId="0" applyFont="1" applyFill="1"/>
    <xf numFmtId="7" fontId="10" fillId="3" borderId="16" xfId="0" applyNumberFormat="1" applyFont="1" applyFill="1" applyBorder="1" applyAlignment="1">
      <alignment horizontal="left"/>
    </xf>
    <xf numFmtId="0" fontId="16" fillId="3" borderId="0" xfId="0" applyFont="1" applyFill="1" applyAlignment="1">
      <alignment horizontal="left"/>
    </xf>
    <xf numFmtId="7" fontId="10" fillId="3" borderId="0" xfId="0" applyNumberFormat="1" applyFont="1" applyFill="1"/>
    <xf numFmtId="166" fontId="10" fillId="3" borderId="17" xfId="0" applyNumberFormat="1" applyFont="1" applyFill="1" applyBorder="1"/>
    <xf numFmtId="1" fontId="10" fillId="3" borderId="17" xfId="0" applyNumberFormat="1" applyFont="1" applyFill="1" applyBorder="1"/>
    <xf numFmtId="7" fontId="10" fillId="3" borderId="17" xfId="0" applyNumberFormat="1" applyFont="1" applyFill="1" applyBorder="1"/>
    <xf numFmtId="49" fontId="10" fillId="6" borderId="16" xfId="0" applyNumberFormat="1" applyFont="1" applyFill="1" applyBorder="1" applyAlignment="1">
      <alignment horizontal="left"/>
    </xf>
    <xf numFmtId="0" fontId="10" fillId="6" borderId="0" xfId="0" applyFont="1" applyFill="1"/>
    <xf numFmtId="7" fontId="10" fillId="6" borderId="0" xfId="0" applyNumberFormat="1" applyFont="1" applyFill="1"/>
    <xf numFmtId="7" fontId="10" fillId="6" borderId="16" xfId="0" applyNumberFormat="1" applyFont="1" applyFill="1" applyBorder="1" applyAlignment="1">
      <alignment horizontal="left"/>
    </xf>
    <xf numFmtId="166" fontId="10" fillId="6" borderId="17" xfId="0" applyNumberFormat="1" applyFont="1" applyFill="1" applyBorder="1"/>
    <xf numFmtId="1" fontId="10" fillId="6" borderId="17" xfId="0" applyNumberFormat="1" applyFont="1" applyFill="1" applyBorder="1"/>
    <xf numFmtId="165" fontId="10" fillId="6" borderId="17" xfId="0" applyNumberFormat="1" applyFont="1" applyFill="1" applyBorder="1"/>
    <xf numFmtId="49" fontId="10" fillId="6" borderId="16" xfId="0" applyNumberFormat="1" applyFont="1" applyFill="1" applyBorder="1" applyAlignment="1">
      <alignment horizontal="right"/>
    </xf>
    <xf numFmtId="8" fontId="10" fillId="6" borderId="0" xfId="0" applyNumberFormat="1" applyFont="1" applyFill="1" applyAlignment="1">
      <alignment horizontal="left"/>
    </xf>
    <xf numFmtId="49" fontId="10" fillId="6" borderId="0" xfId="0" applyNumberFormat="1" applyFont="1" applyFill="1"/>
    <xf numFmtId="49" fontId="10" fillId="3" borderId="18" xfId="0" applyNumberFormat="1" applyFont="1" applyFill="1" applyBorder="1" applyAlignment="1">
      <alignment horizontal="left"/>
    </xf>
    <xf numFmtId="0" fontId="10" fillId="3" borderId="19" xfId="0" applyFont="1" applyFill="1" applyBorder="1"/>
    <xf numFmtId="166" fontId="10" fillId="3" borderId="20" xfId="0" applyNumberFormat="1" applyFont="1" applyFill="1" applyBorder="1"/>
    <xf numFmtId="1" fontId="10" fillId="3" borderId="20" xfId="0" applyNumberFormat="1" applyFont="1" applyFill="1" applyBorder="1"/>
    <xf numFmtId="0" fontId="10" fillId="3" borderId="20" xfId="0" applyFont="1" applyFill="1" applyBorder="1"/>
    <xf numFmtId="0" fontId="17" fillId="3" borderId="0" xfId="0" applyFont="1" applyFill="1" applyAlignment="1">
      <alignment horizontal="right"/>
    </xf>
    <xf numFmtId="14" fontId="18" fillId="3" borderId="0" xfId="0" applyNumberFormat="1" applyFont="1" applyFill="1" applyAlignment="1">
      <alignment horizontal="center"/>
    </xf>
    <xf numFmtId="0" fontId="13" fillId="3" borderId="0" xfId="0" applyFont="1" applyFill="1" applyAlignment="1">
      <alignment vertical="center" textRotation="90"/>
    </xf>
    <xf numFmtId="0" fontId="10" fillId="7" borderId="14" xfId="0" applyFont="1" applyFill="1" applyBorder="1"/>
    <xf numFmtId="49" fontId="12" fillId="7" borderId="13" xfId="0" applyNumberFormat="1" applyFont="1" applyFill="1" applyBorder="1" applyAlignment="1">
      <alignment horizontal="left"/>
    </xf>
    <xf numFmtId="7" fontId="12" fillId="7" borderId="15" xfId="0" applyNumberFormat="1" applyFont="1" applyFill="1" applyBorder="1" applyAlignment="1">
      <alignment horizontal="center"/>
    </xf>
    <xf numFmtId="1" fontId="12" fillId="7" borderId="15" xfId="0" applyNumberFormat="1" applyFont="1" applyFill="1" applyBorder="1" applyAlignment="1">
      <alignment horizontal="center"/>
    </xf>
    <xf numFmtId="165" fontId="12" fillId="7" borderId="15" xfId="0" applyNumberFormat="1" applyFont="1" applyFill="1" applyBorder="1" applyAlignment="1">
      <alignment horizontal="center"/>
    </xf>
    <xf numFmtId="0" fontId="19" fillId="3" borderId="0" xfId="0" applyFont="1" applyFill="1"/>
    <xf numFmtId="0" fontId="0" fillId="0" borderId="0" xfId="0" applyAlignment="1">
      <alignment horizontal="left" indent="1"/>
    </xf>
    <xf numFmtId="0" fontId="9" fillId="0" borderId="0" xfId="0" applyFont="1" applyAlignment="1">
      <alignment horizontal="left"/>
    </xf>
    <xf numFmtId="164" fontId="10" fillId="3" borderId="17" xfId="2" applyNumberFormat="1" applyFont="1" applyFill="1" applyBorder="1"/>
    <xf numFmtId="164" fontId="10" fillId="6" borderId="17" xfId="2" applyNumberFormat="1" applyFont="1" applyFill="1" applyBorder="1"/>
    <xf numFmtId="164" fontId="10" fillId="6" borderId="17" xfId="2" applyNumberFormat="1" applyFont="1" applyFill="1" applyBorder="1" applyAlignment="1">
      <alignment horizontal="center"/>
    </xf>
    <xf numFmtId="0" fontId="13" fillId="6" borderId="21" xfId="0" applyFont="1" applyFill="1" applyBorder="1" applyAlignment="1">
      <alignment vertical="top"/>
    </xf>
    <xf numFmtId="165" fontId="10" fillId="0" borderId="20" xfId="0" applyNumberFormat="1" applyFont="1" applyBorder="1" applyAlignment="1">
      <alignment vertical="center"/>
    </xf>
    <xf numFmtId="0" fontId="21" fillId="0" borderId="0" xfId="0" applyFont="1" applyAlignment="1">
      <alignment horizontal="left" indent="3"/>
    </xf>
    <xf numFmtId="0" fontId="10" fillId="3" borderId="0" xfId="0" applyFont="1" applyFill="1" applyAlignment="1">
      <alignment horizontal="left"/>
    </xf>
    <xf numFmtId="0" fontId="7" fillId="3" borderId="0" xfId="0" applyFont="1" applyFill="1" applyAlignment="1">
      <alignment horizontal="left" vertical="center"/>
    </xf>
    <xf numFmtId="7" fontId="10" fillId="3" borderId="16" xfId="0" applyNumberFormat="1" applyFont="1" applyFill="1" applyBorder="1" applyAlignment="1">
      <alignment horizontal="center"/>
    </xf>
    <xf numFmtId="7" fontId="10" fillId="3" borderId="0" xfId="0" applyNumberFormat="1" applyFont="1" applyFill="1" applyAlignment="1">
      <alignment horizontal="center"/>
    </xf>
  </cellXfs>
  <cellStyles count="3">
    <cellStyle name="Currency" xfId="2" builtinId="4"/>
    <cellStyle name="Normal" xfId="0" builtinId="0"/>
    <cellStyle name="Note" xfId="1" builtinId="10"/>
  </cellStyles>
  <dxfs count="0"/>
  <tableStyles count="0" defaultTableStyle="TableStyleMedium2" defaultPivotStyle="PivotStyleLight16"/>
  <colors>
    <mruColors>
      <color rgb="FFFFFFCC"/>
      <color rgb="FFFFFF66"/>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209448</xdr:colOff>
      <xdr:row>28</xdr:row>
      <xdr:rowOff>46937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0" y="0"/>
          <a:ext cx="819048" cy="5504762"/>
        </a:xfrm>
        <a:prstGeom prst="rect">
          <a:avLst/>
        </a:prstGeom>
      </xdr:spPr>
    </xdr:pic>
    <xdr:clientData/>
  </xdr:twoCellAnchor>
  <xdr:twoCellAnchor editAs="oneCell">
    <xdr:from>
      <xdr:col>15</xdr:col>
      <xdr:colOff>542925</xdr:colOff>
      <xdr:row>0</xdr:row>
      <xdr:rowOff>0</xdr:rowOff>
    </xdr:from>
    <xdr:to>
      <xdr:col>24</xdr:col>
      <xdr:colOff>151763</xdr:colOff>
      <xdr:row>32</xdr:row>
      <xdr:rowOff>65889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686925" y="0"/>
          <a:ext cx="5095238" cy="6285714"/>
        </a:xfrm>
        <a:prstGeom prst="rect">
          <a:avLst/>
        </a:prstGeom>
      </xdr:spPr>
    </xdr:pic>
    <xdr:clientData/>
  </xdr:twoCellAnchor>
  <xdr:twoCellAnchor editAs="oneCell">
    <xdr:from>
      <xdr:col>1</xdr:col>
      <xdr:colOff>409575</xdr:colOff>
      <xdr:row>0</xdr:row>
      <xdr:rowOff>0</xdr:rowOff>
    </xdr:from>
    <xdr:to>
      <xdr:col>9</xdr:col>
      <xdr:colOff>225093</xdr:colOff>
      <xdr:row>12</xdr:row>
      <xdr:rowOff>60159</xdr:rowOff>
    </xdr:to>
    <xdr:pic>
      <xdr:nvPicPr>
        <xdr:cNvPr id="5" name="Picture 5">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19175" y="0"/>
          <a:ext cx="4692318" cy="23461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455092</xdr:colOff>
      <xdr:row>9</xdr:row>
      <xdr:rowOff>171735</xdr:rowOff>
    </xdr:from>
    <xdr:to>
      <xdr:col>20</xdr:col>
      <xdr:colOff>47175</xdr:colOff>
      <xdr:row>15</xdr:row>
      <xdr:rowOff>180286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0350509" y="1886235"/>
          <a:ext cx="2661249" cy="1159171"/>
        </a:xfrm>
        <a:prstGeom prst="rect">
          <a:avLst/>
        </a:prstGeom>
        <a:effectLst>
          <a:outerShdw blurRad="50800" dist="38100" dir="2700000" algn="tl" rotWithShape="0">
            <a:prstClr val="black">
              <a:alpha val="40000"/>
            </a:prstClr>
          </a:outerShdw>
        </a:effectLst>
      </xdr:spPr>
    </xdr:pic>
    <xdr:clientData/>
  </xdr:twoCellAnchor>
  <xdr:twoCellAnchor>
    <xdr:from>
      <xdr:col>17</xdr:col>
      <xdr:colOff>179917</xdr:colOff>
      <xdr:row>8</xdr:row>
      <xdr:rowOff>10584</xdr:rowOff>
    </xdr:from>
    <xdr:to>
      <xdr:col>18</xdr:col>
      <xdr:colOff>222250</xdr:colOff>
      <xdr:row>9</xdr:row>
      <xdr:rowOff>116418</xdr:rowOff>
    </xdr:to>
    <xdr:sp macro="" textlink="">
      <xdr:nvSpPr>
        <xdr:cNvPr id="3" name="Down Arrow 2">
          <a:extLst>
            <a:ext uri="{FF2B5EF4-FFF2-40B4-BE49-F238E27FC236}">
              <a16:creationId xmlns:a16="http://schemas.microsoft.com/office/drawing/2014/main" id="{00000000-0008-0000-0100-000003000000}"/>
            </a:ext>
          </a:extLst>
        </xdr:cNvPr>
        <xdr:cNvSpPr/>
      </xdr:nvSpPr>
      <xdr:spPr>
        <a:xfrm>
          <a:off x="11303000" y="1534584"/>
          <a:ext cx="656167" cy="2963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302329</xdr:colOff>
      <xdr:row>20</xdr:row>
      <xdr:rowOff>53980</xdr:rowOff>
    </xdr:from>
    <xdr:to>
      <xdr:col>18</xdr:col>
      <xdr:colOff>181042</xdr:colOff>
      <xdr:row>27</xdr:row>
      <xdr:rowOff>44224</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10343796" y="3779313"/>
          <a:ext cx="1758313" cy="1294111"/>
        </a:xfrm>
        <a:prstGeom prst="rect">
          <a:avLst/>
        </a:prstGeom>
      </xdr:spPr>
    </xdr:pic>
    <xdr:clientData/>
  </xdr:twoCellAnchor>
  <xdr:twoCellAnchor>
    <xdr:from>
      <xdr:col>15</xdr:col>
      <xdr:colOff>7481</xdr:colOff>
      <xdr:row>18</xdr:row>
      <xdr:rowOff>180786</xdr:rowOff>
    </xdr:from>
    <xdr:to>
      <xdr:col>15</xdr:col>
      <xdr:colOff>303815</xdr:colOff>
      <xdr:row>21</xdr:row>
      <xdr:rowOff>107692</xdr:rowOff>
    </xdr:to>
    <xdr:sp macro="" textlink="">
      <xdr:nvSpPr>
        <xdr:cNvPr id="5" name="Down Arrow 4">
          <a:extLst>
            <a:ext uri="{FF2B5EF4-FFF2-40B4-BE49-F238E27FC236}">
              <a16:creationId xmlns:a16="http://schemas.microsoft.com/office/drawing/2014/main" id="{00000000-0008-0000-0100-000005000000}"/>
            </a:ext>
          </a:extLst>
        </xdr:cNvPr>
        <xdr:cNvSpPr/>
      </xdr:nvSpPr>
      <xdr:spPr>
        <a:xfrm rot="18198611">
          <a:off x="9954262" y="3628272"/>
          <a:ext cx="485706" cy="2963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238125</xdr:colOff>
      <xdr:row>4</xdr:row>
      <xdr:rowOff>109538</xdr:rowOff>
    </xdr:to>
    <xdr:pic>
      <xdr:nvPicPr>
        <xdr:cNvPr id="2" name="Picture 5">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62125" cy="881063"/>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662940</xdr:colOff>
          <xdr:row>0</xdr:row>
          <xdr:rowOff>175260</xdr:rowOff>
        </xdr:from>
        <xdr:to>
          <xdr:col>12</xdr:col>
          <xdr:colOff>0</xdr:colOff>
          <xdr:row>3</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facture</a:t>
              </a:r>
            </a:p>
          </xdr:txBody>
        </xdr:sp>
        <xdr:clientData fPrintsWithSheet="0"/>
      </xdr:twoCellAnchor>
    </mc:Choice>
    <mc:Fallback/>
  </mc:AlternateContent>
  <xdr:twoCellAnchor editAs="oneCell">
    <xdr:from>
      <xdr:col>0</xdr:col>
      <xdr:colOff>0</xdr:colOff>
      <xdr:row>0</xdr:row>
      <xdr:rowOff>0</xdr:rowOff>
    </xdr:from>
    <xdr:to>
      <xdr:col>4</xdr:col>
      <xdr:colOff>238125</xdr:colOff>
      <xdr:row>4</xdr:row>
      <xdr:rowOff>109538</xdr:rowOff>
    </xdr:to>
    <xdr:pic>
      <xdr:nvPicPr>
        <xdr:cNvPr id="3" name="Picture 5">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807845" cy="8410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2</xdr:col>
          <xdr:colOff>7620</xdr:colOff>
          <xdr:row>5</xdr:row>
          <xdr:rowOff>121920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4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Générateur de factures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33"/>
  <sheetViews>
    <sheetView workbookViewId="0">
      <selection activeCell="E16" sqref="E16"/>
    </sheetView>
  </sheetViews>
  <sheetFormatPr defaultColWidth="9.109375" defaultRowHeight="14.4" x14ac:dyDescent="0.3"/>
  <cols>
    <col min="1" max="24" width="9.109375" style="5"/>
    <col min="25" max="25" width="2.44140625" style="5" customWidth="1"/>
    <col min="26" max="16384" width="9.109375" style="5"/>
  </cols>
  <sheetData>
    <row r="1" spans="1:25" x14ac:dyDescent="0.3">
      <c r="A1" s="2"/>
      <c r="B1" s="3"/>
      <c r="C1" s="3"/>
      <c r="D1" s="3"/>
      <c r="E1" s="3"/>
      <c r="F1" s="3"/>
      <c r="G1" s="3"/>
      <c r="H1" s="3"/>
      <c r="I1" s="3"/>
      <c r="J1" s="3"/>
      <c r="K1" s="3"/>
      <c r="L1" s="3"/>
      <c r="M1" s="3"/>
      <c r="N1" s="3"/>
      <c r="O1" s="3"/>
      <c r="P1" s="3"/>
      <c r="Q1" s="3"/>
      <c r="R1" s="3"/>
      <c r="S1" s="3"/>
      <c r="T1" s="3"/>
      <c r="U1" s="3"/>
      <c r="V1" s="3"/>
      <c r="W1" s="3"/>
      <c r="X1" s="3"/>
      <c r="Y1" s="4"/>
    </row>
    <row r="2" spans="1:25" x14ac:dyDescent="0.3">
      <c r="A2" s="6"/>
      <c r="Y2" s="7"/>
    </row>
    <row r="3" spans="1:25" x14ac:dyDescent="0.3">
      <c r="A3" s="6"/>
      <c r="Y3" s="7"/>
    </row>
    <row r="4" spans="1:25" x14ac:dyDescent="0.3">
      <c r="A4" s="6"/>
      <c r="Y4" s="7"/>
    </row>
    <row r="5" spans="1:25" x14ac:dyDescent="0.3">
      <c r="A5" s="6"/>
      <c r="Y5" s="7"/>
    </row>
    <row r="6" spans="1:25" x14ac:dyDescent="0.3">
      <c r="A6" s="6"/>
      <c r="Y6" s="7"/>
    </row>
    <row r="7" spans="1:25" x14ac:dyDescent="0.3">
      <c r="A7" s="6"/>
      <c r="Y7" s="7"/>
    </row>
    <row r="8" spans="1:25" x14ac:dyDescent="0.3">
      <c r="A8" s="6"/>
      <c r="Y8" s="7"/>
    </row>
    <row r="9" spans="1:25" x14ac:dyDescent="0.3">
      <c r="A9" s="6"/>
      <c r="Y9" s="7"/>
    </row>
    <row r="10" spans="1:25" x14ac:dyDescent="0.3">
      <c r="A10" s="6"/>
      <c r="Y10" s="7"/>
    </row>
    <row r="11" spans="1:25" x14ac:dyDescent="0.3">
      <c r="A11" s="6"/>
      <c r="Y11" s="7"/>
    </row>
    <row r="12" spans="1:25" ht="15" customHeight="1" x14ac:dyDescent="0.3">
      <c r="A12" s="6"/>
      <c r="D12" s="77" t="s">
        <v>494</v>
      </c>
      <c r="E12" s="77"/>
      <c r="F12" s="77"/>
      <c r="G12" s="77"/>
      <c r="H12" s="77"/>
      <c r="I12" s="77"/>
      <c r="J12" s="77"/>
      <c r="K12" s="77"/>
      <c r="L12" s="77"/>
      <c r="M12" s="77"/>
      <c r="N12" s="77"/>
      <c r="O12" s="77"/>
      <c r="P12" s="77"/>
      <c r="Q12" s="77"/>
      <c r="R12" s="77"/>
      <c r="S12" s="77"/>
      <c r="Y12" s="7"/>
    </row>
    <row r="13" spans="1:25" ht="15" customHeight="1" x14ac:dyDescent="0.3">
      <c r="A13" s="6"/>
      <c r="D13" s="77"/>
      <c r="E13" s="77"/>
      <c r="F13" s="77"/>
      <c r="G13" s="77"/>
      <c r="H13" s="77"/>
      <c r="I13" s="77"/>
      <c r="J13" s="77"/>
      <c r="K13" s="77"/>
      <c r="L13" s="77"/>
      <c r="M13" s="77"/>
      <c r="N13" s="77"/>
      <c r="O13" s="77"/>
      <c r="P13" s="77"/>
      <c r="Q13" s="77"/>
      <c r="R13" s="77"/>
      <c r="S13" s="77"/>
      <c r="Y13" s="7"/>
    </row>
    <row r="14" spans="1:25" ht="15" customHeight="1" x14ac:dyDescent="0.3">
      <c r="A14" s="6"/>
      <c r="D14" s="77"/>
      <c r="E14" s="77"/>
      <c r="F14" s="77"/>
      <c r="G14" s="77"/>
      <c r="H14" s="77"/>
      <c r="I14" s="77"/>
      <c r="J14" s="77"/>
      <c r="K14" s="77"/>
      <c r="L14" s="77"/>
      <c r="M14" s="77"/>
      <c r="N14" s="77"/>
      <c r="O14" s="77"/>
      <c r="P14" s="77"/>
      <c r="Q14" s="77"/>
      <c r="R14" s="77"/>
      <c r="S14" s="77"/>
      <c r="Y14" s="7"/>
    </row>
    <row r="15" spans="1:25" ht="22.2" x14ac:dyDescent="0.45">
      <c r="A15" s="6"/>
      <c r="D15" s="15" t="s">
        <v>0</v>
      </c>
      <c r="E15" s="8"/>
      <c r="F15" s="8"/>
      <c r="G15" s="8"/>
      <c r="H15" s="8"/>
      <c r="I15" s="8"/>
      <c r="J15" s="8"/>
      <c r="K15" s="8"/>
      <c r="L15" s="8"/>
      <c r="M15" s="8"/>
      <c r="N15" s="8"/>
      <c r="O15" s="8"/>
      <c r="P15" s="8"/>
      <c r="Q15" s="8"/>
      <c r="R15" s="8"/>
      <c r="S15" s="8"/>
      <c r="Y15" s="7"/>
    </row>
    <row r="16" spans="1:25" ht="15" customHeight="1" x14ac:dyDescent="0.3">
      <c r="A16" s="6"/>
      <c r="D16" s="8"/>
      <c r="E16" s="8"/>
      <c r="F16" s="8"/>
      <c r="G16" s="8"/>
      <c r="H16" s="8"/>
      <c r="I16" s="8"/>
      <c r="J16" s="8"/>
      <c r="K16" s="8"/>
      <c r="L16" s="8"/>
      <c r="M16" s="8"/>
      <c r="N16" s="8"/>
      <c r="O16" s="8"/>
      <c r="P16" s="8"/>
      <c r="Q16" s="8"/>
      <c r="R16" s="8"/>
      <c r="S16" s="8"/>
      <c r="Y16" s="7"/>
    </row>
    <row r="17" spans="1:25" ht="21.75" customHeight="1" x14ac:dyDescent="0.35">
      <c r="A17" s="6"/>
      <c r="D17" s="9"/>
      <c r="E17" s="8"/>
      <c r="F17" s="8"/>
      <c r="G17" s="8"/>
      <c r="H17" s="8"/>
      <c r="I17" s="8"/>
      <c r="J17" s="8"/>
      <c r="K17" s="8"/>
      <c r="L17" s="8"/>
      <c r="M17" s="8"/>
      <c r="N17" s="8"/>
      <c r="O17" s="8"/>
      <c r="P17" s="8"/>
      <c r="Q17" s="8"/>
      <c r="R17" s="8"/>
      <c r="S17" s="8"/>
      <c r="Y17" s="7"/>
    </row>
    <row r="18" spans="1:25" ht="8.25" customHeight="1" x14ac:dyDescent="0.5">
      <c r="A18" s="6"/>
      <c r="D18" s="10"/>
      <c r="Y18" s="7"/>
    </row>
    <row r="19" spans="1:25" ht="19.5" customHeight="1" x14ac:dyDescent="0.3">
      <c r="A19" s="6"/>
      <c r="Y19" s="7"/>
    </row>
    <row r="20" spans="1:25" ht="8.25" customHeight="1" x14ac:dyDescent="0.5">
      <c r="A20" s="6"/>
      <c r="D20" s="10"/>
      <c r="Y20" s="7"/>
    </row>
    <row r="21" spans="1:25" ht="21" customHeight="1" x14ac:dyDescent="0.5">
      <c r="A21" s="6"/>
      <c r="D21" s="11"/>
      <c r="Y21" s="7"/>
    </row>
    <row r="22" spans="1:25" x14ac:dyDescent="0.3">
      <c r="A22" s="6"/>
      <c r="Y22" s="7"/>
    </row>
    <row r="23" spans="1:25" x14ac:dyDescent="0.3">
      <c r="A23" s="6"/>
      <c r="Y23" s="7"/>
    </row>
    <row r="24" spans="1:25" x14ac:dyDescent="0.3">
      <c r="A24" s="6"/>
      <c r="Y24" s="7"/>
    </row>
    <row r="25" spans="1:25" x14ac:dyDescent="0.3">
      <c r="A25" s="6"/>
      <c r="Y25" s="7"/>
    </row>
    <row r="26" spans="1:25" x14ac:dyDescent="0.3">
      <c r="A26" s="6"/>
      <c r="Y26" s="7"/>
    </row>
    <row r="27" spans="1:25" x14ac:dyDescent="0.3">
      <c r="A27" s="6"/>
      <c r="Y27" s="7"/>
    </row>
    <row r="28" spans="1:25" x14ac:dyDescent="0.3">
      <c r="A28" s="6"/>
      <c r="Y28" s="7"/>
    </row>
    <row r="29" spans="1:25" x14ac:dyDescent="0.3">
      <c r="A29" s="6"/>
      <c r="Y29" s="7"/>
    </row>
    <row r="30" spans="1:25" x14ac:dyDescent="0.3">
      <c r="A30" s="6"/>
      <c r="Y30" s="7"/>
    </row>
    <row r="31" spans="1:25" x14ac:dyDescent="0.3">
      <c r="A31" s="6"/>
      <c r="Y31" s="7"/>
    </row>
    <row r="32" spans="1:25" x14ac:dyDescent="0.3">
      <c r="A32" s="6"/>
      <c r="Y32" s="7"/>
    </row>
    <row r="33" spans="1:25" ht="21" customHeight="1" thickBot="1" x14ac:dyDescent="0.35">
      <c r="A33" s="12"/>
      <c r="B33" s="13"/>
      <c r="C33" s="13"/>
      <c r="D33" s="13"/>
      <c r="E33" s="13"/>
      <c r="F33" s="13"/>
      <c r="G33" s="13"/>
      <c r="H33" s="13"/>
      <c r="I33" s="13"/>
      <c r="J33" s="13"/>
      <c r="K33" s="13"/>
      <c r="L33" s="13"/>
      <c r="M33" s="13"/>
      <c r="N33" s="13"/>
      <c r="O33" s="13"/>
      <c r="P33" s="13"/>
      <c r="Q33" s="13"/>
      <c r="R33" s="13"/>
      <c r="S33" s="13"/>
      <c r="T33" s="13"/>
      <c r="U33" s="13"/>
      <c r="V33" s="13"/>
      <c r="W33" s="13"/>
      <c r="X33" s="13"/>
      <c r="Y33" s="14"/>
    </row>
  </sheetData>
  <mergeCells count="1">
    <mergeCell ref="D12:S1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M21"/>
  <sheetViews>
    <sheetView showGridLines="0" zoomScale="90" zoomScaleNormal="90" workbookViewId="0">
      <selection activeCell="G19" sqref="G19"/>
    </sheetView>
  </sheetViews>
  <sheetFormatPr defaultColWidth="9.109375" defaultRowHeight="14.4" x14ac:dyDescent="0.3"/>
  <cols>
    <col min="1" max="1" width="6" customWidth="1"/>
    <col min="2" max="5" width="10.6640625" customWidth="1"/>
    <col min="6" max="6" width="9.6640625" customWidth="1"/>
    <col min="7" max="8" width="10.6640625" customWidth="1"/>
    <col min="9" max="9" width="7.33203125" customWidth="1"/>
    <col min="10" max="13" width="10.6640625" customWidth="1"/>
    <col min="14" max="15" width="8.6640625" customWidth="1"/>
  </cols>
  <sheetData>
    <row r="2" spans="2:13" s="20" customFormat="1" x14ac:dyDescent="0.3">
      <c r="B2" s="21" t="s">
        <v>1</v>
      </c>
    </row>
    <row r="4" spans="2:13" x14ac:dyDescent="0.3">
      <c r="B4" t="s">
        <v>477</v>
      </c>
      <c r="C4" s="1"/>
    </row>
    <row r="5" spans="2:13" x14ac:dyDescent="0.3">
      <c r="B5" t="s">
        <v>489</v>
      </c>
      <c r="G5" s="17"/>
      <c r="J5" s="17"/>
    </row>
    <row r="7" spans="2:13" x14ac:dyDescent="0.3">
      <c r="B7" s="17" t="s">
        <v>478</v>
      </c>
      <c r="C7" s="16"/>
      <c r="D7" s="16"/>
      <c r="E7" s="16"/>
      <c r="G7" s="16"/>
      <c r="H7" s="16"/>
      <c r="K7" s="16"/>
      <c r="L7" s="16"/>
      <c r="M7" s="16"/>
    </row>
    <row r="8" spans="2:13" x14ac:dyDescent="0.3">
      <c r="B8" s="68" t="s">
        <v>493</v>
      </c>
      <c r="J8" s="16"/>
      <c r="K8" s="18"/>
      <c r="L8" s="18"/>
      <c r="M8" s="19"/>
    </row>
    <row r="9" spans="2:13" x14ac:dyDescent="0.3">
      <c r="B9" s="68" t="s">
        <v>483</v>
      </c>
      <c r="J9" s="16"/>
      <c r="K9" s="18"/>
      <c r="L9" s="18"/>
      <c r="M9" s="19"/>
    </row>
    <row r="10" spans="2:13" x14ac:dyDescent="0.3">
      <c r="B10" s="75" t="s">
        <v>484</v>
      </c>
      <c r="J10" s="16"/>
      <c r="K10" s="18"/>
      <c r="L10" s="18"/>
      <c r="M10" s="19"/>
    </row>
    <row r="11" spans="2:13" x14ac:dyDescent="0.3">
      <c r="B11" s="68" t="s">
        <v>488</v>
      </c>
      <c r="J11" s="16"/>
      <c r="K11" s="18"/>
      <c r="L11" s="18"/>
      <c r="M11" s="19"/>
    </row>
    <row r="12" spans="2:13" x14ac:dyDescent="0.3">
      <c r="B12" s="68" t="s">
        <v>479</v>
      </c>
      <c r="J12" s="16"/>
      <c r="K12" s="18"/>
      <c r="L12" s="18"/>
      <c r="M12" s="19"/>
    </row>
    <row r="13" spans="2:13" x14ac:dyDescent="0.3">
      <c r="B13" s="68" t="s">
        <v>496</v>
      </c>
      <c r="J13" s="16"/>
      <c r="K13" s="18"/>
      <c r="L13" s="18"/>
      <c r="M13" s="19"/>
    </row>
    <row r="14" spans="2:13" x14ac:dyDescent="0.3">
      <c r="J14" s="16"/>
      <c r="K14" s="19"/>
      <c r="L14" s="19"/>
      <c r="M14" s="19"/>
    </row>
    <row r="15" spans="2:13" x14ac:dyDescent="0.3">
      <c r="B15" s="69" t="s">
        <v>482</v>
      </c>
    </row>
    <row r="16" spans="2:13" x14ac:dyDescent="0.3">
      <c r="B16" s="68" t="s">
        <v>490</v>
      </c>
    </row>
    <row r="17" spans="2:2" x14ac:dyDescent="0.3">
      <c r="B17" s="75" t="s">
        <v>486</v>
      </c>
    </row>
    <row r="18" spans="2:2" x14ac:dyDescent="0.3">
      <c r="B18" s="75" t="s">
        <v>485</v>
      </c>
    </row>
    <row r="19" spans="2:2" x14ac:dyDescent="0.3">
      <c r="B19" s="68" t="s">
        <v>487</v>
      </c>
    </row>
    <row r="20" spans="2:2" x14ac:dyDescent="0.3">
      <c r="B20" s="68" t="s">
        <v>491</v>
      </c>
    </row>
    <row r="21" spans="2:2" x14ac:dyDescent="0.3">
      <c r="B21" s="68" t="s">
        <v>492</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D159"/>
  <sheetViews>
    <sheetView topLeftCell="A88" workbookViewId="0">
      <selection activeCell="C104" sqref="C104"/>
    </sheetView>
  </sheetViews>
  <sheetFormatPr defaultRowHeight="14.4" x14ac:dyDescent="0.3"/>
  <cols>
    <col min="2" max="2" width="15.88671875" customWidth="1"/>
    <col min="3" max="3" width="15.5546875" customWidth="1"/>
    <col min="4" max="4" width="12.109375" customWidth="1"/>
  </cols>
  <sheetData>
    <row r="2" spans="2:4" s="20" customFormat="1" x14ac:dyDescent="0.3">
      <c r="B2" s="21" t="s">
        <v>497</v>
      </c>
    </row>
    <row r="4" spans="2:4" x14ac:dyDescent="0.3">
      <c r="B4" s="16" t="s">
        <v>499</v>
      </c>
      <c r="C4" s="16" t="s">
        <v>498</v>
      </c>
      <c r="D4" s="16" t="s">
        <v>2</v>
      </c>
    </row>
    <row r="5" spans="2:4" x14ac:dyDescent="0.3">
      <c r="B5" t="s">
        <v>15</v>
      </c>
      <c r="C5" t="s">
        <v>312</v>
      </c>
      <c r="D5" t="s">
        <v>169</v>
      </c>
    </row>
    <row r="6" spans="2:4" x14ac:dyDescent="0.3">
      <c r="B6" t="s">
        <v>89</v>
      </c>
      <c r="C6" t="s">
        <v>318</v>
      </c>
      <c r="D6" t="s">
        <v>244</v>
      </c>
    </row>
    <row r="7" spans="2:4" x14ac:dyDescent="0.3">
      <c r="B7" t="s">
        <v>62</v>
      </c>
      <c r="C7" t="s">
        <v>316</v>
      </c>
      <c r="D7" t="s">
        <v>217</v>
      </c>
    </row>
    <row r="8" spans="2:4" x14ac:dyDescent="0.3">
      <c r="B8" t="s">
        <v>85</v>
      </c>
      <c r="C8" t="s">
        <v>319</v>
      </c>
      <c r="D8" t="s">
        <v>240</v>
      </c>
    </row>
    <row r="9" spans="2:4" x14ac:dyDescent="0.3">
      <c r="B9" t="s">
        <v>116</v>
      </c>
      <c r="C9" t="s">
        <v>317</v>
      </c>
      <c r="D9" t="s">
        <v>271</v>
      </c>
    </row>
    <row r="10" spans="2:4" x14ac:dyDescent="0.3">
      <c r="B10" t="s">
        <v>97</v>
      </c>
      <c r="C10" t="s">
        <v>314</v>
      </c>
      <c r="D10" t="s">
        <v>252</v>
      </c>
    </row>
    <row r="11" spans="2:4" x14ac:dyDescent="0.3">
      <c r="B11" t="s">
        <v>36</v>
      </c>
      <c r="C11" t="s">
        <v>320</v>
      </c>
      <c r="D11" t="s">
        <v>190</v>
      </c>
    </row>
    <row r="12" spans="2:4" x14ac:dyDescent="0.3">
      <c r="B12" t="s">
        <v>21</v>
      </c>
      <c r="C12" t="s">
        <v>313</v>
      </c>
      <c r="D12" t="s">
        <v>175</v>
      </c>
    </row>
    <row r="13" spans="2:4" x14ac:dyDescent="0.3">
      <c r="B13" t="s">
        <v>495</v>
      </c>
      <c r="C13" t="s">
        <v>315</v>
      </c>
      <c r="D13" t="s">
        <v>207</v>
      </c>
    </row>
    <row r="14" spans="2:4" x14ac:dyDescent="0.3">
      <c r="B14" t="s">
        <v>68</v>
      </c>
      <c r="C14" t="s">
        <v>321</v>
      </c>
      <c r="D14" t="s">
        <v>223</v>
      </c>
    </row>
    <row r="15" spans="2:4" x14ac:dyDescent="0.3">
      <c r="B15" t="s">
        <v>104</v>
      </c>
      <c r="C15" t="s">
        <v>322</v>
      </c>
      <c r="D15" t="s">
        <v>259</v>
      </c>
    </row>
    <row r="16" spans="2:4" x14ac:dyDescent="0.3">
      <c r="B16" t="s">
        <v>132</v>
      </c>
      <c r="C16" t="s">
        <v>323</v>
      </c>
      <c r="D16" t="s">
        <v>287</v>
      </c>
    </row>
    <row r="17" spans="2:4" x14ac:dyDescent="0.3">
      <c r="B17" t="s">
        <v>24</v>
      </c>
      <c r="C17" t="s">
        <v>324</v>
      </c>
      <c r="D17" t="s">
        <v>178</v>
      </c>
    </row>
    <row r="18" spans="2:4" x14ac:dyDescent="0.3">
      <c r="B18" t="s">
        <v>155</v>
      </c>
      <c r="C18" t="s">
        <v>325</v>
      </c>
      <c r="D18" t="s">
        <v>310</v>
      </c>
    </row>
    <row r="19" spans="2:4" x14ac:dyDescent="0.3">
      <c r="B19" t="s">
        <v>60</v>
      </c>
      <c r="C19" t="s">
        <v>326</v>
      </c>
      <c r="D19" t="s">
        <v>215</v>
      </c>
    </row>
    <row r="20" spans="2:4" x14ac:dyDescent="0.3">
      <c r="B20" t="s">
        <v>108</v>
      </c>
      <c r="C20" t="s">
        <v>327</v>
      </c>
      <c r="D20" t="s">
        <v>263</v>
      </c>
    </row>
    <row r="21" spans="2:4" x14ac:dyDescent="0.3">
      <c r="B21" t="s">
        <v>98</v>
      </c>
      <c r="C21" t="s">
        <v>328</v>
      </c>
      <c r="D21" t="s">
        <v>253</v>
      </c>
    </row>
    <row r="22" spans="2:4" x14ac:dyDescent="0.3">
      <c r="B22" t="s">
        <v>25</v>
      </c>
      <c r="C22" t="s">
        <v>329</v>
      </c>
      <c r="D22" t="s">
        <v>179</v>
      </c>
    </row>
    <row r="23" spans="2:4" x14ac:dyDescent="0.3">
      <c r="B23" t="s">
        <v>53</v>
      </c>
      <c r="C23" t="s">
        <v>330</v>
      </c>
      <c r="D23" t="s">
        <v>208</v>
      </c>
    </row>
    <row r="24" spans="2:4" x14ac:dyDescent="0.3">
      <c r="B24" t="s">
        <v>119</v>
      </c>
      <c r="C24" t="s">
        <v>331</v>
      </c>
      <c r="D24" t="s">
        <v>274</v>
      </c>
    </row>
    <row r="25" spans="2:4" x14ac:dyDescent="0.3">
      <c r="B25" t="s">
        <v>124</v>
      </c>
      <c r="C25" t="s">
        <v>332</v>
      </c>
      <c r="D25" t="s">
        <v>279</v>
      </c>
    </row>
    <row r="26" spans="2:4" x14ac:dyDescent="0.3">
      <c r="B26" t="s">
        <v>95</v>
      </c>
      <c r="C26" t="s">
        <v>333</v>
      </c>
      <c r="D26" t="s">
        <v>250</v>
      </c>
    </row>
    <row r="27" spans="2:4" x14ac:dyDescent="0.3">
      <c r="B27" t="s">
        <v>34</v>
      </c>
      <c r="C27" t="s">
        <v>334</v>
      </c>
      <c r="D27" t="s">
        <v>188</v>
      </c>
    </row>
    <row r="28" spans="2:4" x14ac:dyDescent="0.3">
      <c r="B28" t="s">
        <v>56</v>
      </c>
      <c r="C28" t="s">
        <v>335</v>
      </c>
      <c r="D28" t="s">
        <v>211</v>
      </c>
    </row>
    <row r="29" spans="2:4" x14ac:dyDescent="0.3">
      <c r="B29" t="s">
        <v>137</v>
      </c>
      <c r="C29" t="s">
        <v>336</v>
      </c>
      <c r="D29" t="s">
        <v>292</v>
      </c>
    </row>
    <row r="30" spans="2:4" x14ac:dyDescent="0.3">
      <c r="B30" t="s">
        <v>82</v>
      </c>
      <c r="C30" t="s">
        <v>337</v>
      </c>
      <c r="D30" t="s">
        <v>237</v>
      </c>
    </row>
    <row r="31" spans="2:4" x14ac:dyDescent="0.3">
      <c r="B31" t="s">
        <v>11</v>
      </c>
      <c r="C31" t="s">
        <v>338</v>
      </c>
      <c r="D31" t="s">
        <v>165</v>
      </c>
    </row>
    <row r="32" spans="2:4" x14ac:dyDescent="0.3">
      <c r="B32" t="s">
        <v>140</v>
      </c>
      <c r="C32" t="s">
        <v>339</v>
      </c>
      <c r="D32" t="s">
        <v>295</v>
      </c>
    </row>
    <row r="33" spans="2:4" x14ac:dyDescent="0.3">
      <c r="B33" t="s">
        <v>121</v>
      </c>
      <c r="C33" t="s">
        <v>340</v>
      </c>
      <c r="D33" t="s">
        <v>276</v>
      </c>
    </row>
    <row r="34" spans="2:4" x14ac:dyDescent="0.3">
      <c r="B34" t="s">
        <v>144</v>
      </c>
      <c r="C34" t="s">
        <v>341</v>
      </c>
      <c r="D34" t="s">
        <v>299</v>
      </c>
    </row>
    <row r="35" spans="2:4" x14ac:dyDescent="0.3">
      <c r="B35" t="s">
        <v>7</v>
      </c>
      <c r="C35" t="s">
        <v>342</v>
      </c>
      <c r="D35" t="s">
        <v>161</v>
      </c>
    </row>
    <row r="36" spans="2:4" x14ac:dyDescent="0.3">
      <c r="B36" t="s">
        <v>110</v>
      </c>
      <c r="C36" t="s">
        <v>343</v>
      </c>
      <c r="D36" t="s">
        <v>265</v>
      </c>
    </row>
    <row r="37" spans="2:4" x14ac:dyDescent="0.3">
      <c r="B37" t="s">
        <v>16</v>
      </c>
      <c r="C37" t="s">
        <v>344</v>
      </c>
      <c r="D37" t="s">
        <v>170</v>
      </c>
    </row>
    <row r="38" spans="2:4" x14ac:dyDescent="0.3">
      <c r="B38" t="s">
        <v>120</v>
      </c>
      <c r="C38" t="s">
        <v>345</v>
      </c>
      <c r="D38" t="s">
        <v>275</v>
      </c>
    </row>
    <row r="39" spans="2:4" x14ac:dyDescent="0.3">
      <c r="B39" t="s">
        <v>150</v>
      </c>
      <c r="C39" t="s">
        <v>346</v>
      </c>
      <c r="D39" t="s">
        <v>305</v>
      </c>
    </row>
    <row r="40" spans="2:4" x14ac:dyDescent="0.3">
      <c r="B40" t="s">
        <v>122</v>
      </c>
      <c r="C40" t="s">
        <v>347</v>
      </c>
      <c r="D40" t="s">
        <v>277</v>
      </c>
    </row>
    <row r="41" spans="2:4" x14ac:dyDescent="0.3">
      <c r="B41" t="s">
        <v>84</v>
      </c>
      <c r="C41" t="s">
        <v>348</v>
      </c>
      <c r="D41" t="s">
        <v>239</v>
      </c>
    </row>
    <row r="42" spans="2:4" x14ac:dyDescent="0.3">
      <c r="B42" t="s">
        <v>139</v>
      </c>
      <c r="C42" t="s">
        <v>349</v>
      </c>
      <c r="D42" t="s">
        <v>294</v>
      </c>
    </row>
    <row r="43" spans="2:4" x14ac:dyDescent="0.3">
      <c r="B43" t="s">
        <v>17</v>
      </c>
      <c r="C43" t="s">
        <v>350</v>
      </c>
      <c r="D43" t="s">
        <v>171</v>
      </c>
    </row>
    <row r="44" spans="2:4" x14ac:dyDescent="0.3">
      <c r="B44" t="s">
        <v>92</v>
      </c>
      <c r="C44" t="s">
        <v>351</v>
      </c>
      <c r="D44" t="s">
        <v>247</v>
      </c>
    </row>
    <row r="45" spans="2:4" x14ac:dyDescent="0.3">
      <c r="B45" t="s">
        <v>123</v>
      </c>
      <c r="C45" t="s">
        <v>352</v>
      </c>
      <c r="D45" t="s">
        <v>278</v>
      </c>
    </row>
    <row r="46" spans="2:4" x14ac:dyDescent="0.3">
      <c r="B46" t="s">
        <v>156</v>
      </c>
      <c r="C46" t="s">
        <v>353</v>
      </c>
      <c r="D46" t="s">
        <v>311</v>
      </c>
    </row>
    <row r="47" spans="2:4" x14ac:dyDescent="0.3">
      <c r="B47" t="s">
        <v>83</v>
      </c>
      <c r="C47" t="s">
        <v>354</v>
      </c>
      <c r="D47" t="s">
        <v>238</v>
      </c>
    </row>
    <row r="48" spans="2:4" x14ac:dyDescent="0.3">
      <c r="B48" t="s">
        <v>136</v>
      </c>
      <c r="C48" t="s">
        <v>355</v>
      </c>
      <c r="D48" t="s">
        <v>291</v>
      </c>
    </row>
    <row r="49" spans="2:4" x14ac:dyDescent="0.3">
      <c r="B49" t="s">
        <v>55</v>
      </c>
      <c r="C49" t="s">
        <v>356</v>
      </c>
      <c r="D49" t="s">
        <v>210</v>
      </c>
    </row>
    <row r="50" spans="2:4" x14ac:dyDescent="0.3">
      <c r="B50" t="s">
        <v>154</v>
      </c>
      <c r="C50" t="s">
        <v>357</v>
      </c>
      <c r="D50" t="s">
        <v>309</v>
      </c>
    </row>
    <row r="51" spans="2:4" x14ac:dyDescent="0.3">
      <c r="B51" t="s">
        <v>42</v>
      </c>
      <c r="C51" t="s">
        <v>358</v>
      </c>
      <c r="D51" t="s">
        <v>196</v>
      </c>
    </row>
    <row r="52" spans="2:4" x14ac:dyDescent="0.3">
      <c r="B52" t="s">
        <v>46</v>
      </c>
      <c r="C52" t="s">
        <v>359</v>
      </c>
      <c r="D52" t="s">
        <v>200</v>
      </c>
    </row>
    <row r="53" spans="2:4" x14ac:dyDescent="0.3">
      <c r="B53" t="s">
        <v>23</v>
      </c>
      <c r="C53" t="s">
        <v>360</v>
      </c>
      <c r="D53" t="s">
        <v>177</v>
      </c>
    </row>
    <row r="54" spans="2:4" x14ac:dyDescent="0.3">
      <c r="B54" t="s">
        <v>101</v>
      </c>
      <c r="C54" t="s">
        <v>361</v>
      </c>
      <c r="D54" t="s">
        <v>256</v>
      </c>
    </row>
    <row r="55" spans="2:4" x14ac:dyDescent="0.3">
      <c r="B55" t="s">
        <v>114</v>
      </c>
      <c r="C55" t="s">
        <v>362</v>
      </c>
      <c r="D55" t="s">
        <v>269</v>
      </c>
    </row>
    <row r="56" spans="2:4" x14ac:dyDescent="0.3">
      <c r="B56" t="s">
        <v>142</v>
      </c>
      <c r="C56" t="s">
        <v>363</v>
      </c>
      <c r="D56" t="s">
        <v>297</v>
      </c>
    </row>
    <row r="57" spans="2:4" x14ac:dyDescent="0.3">
      <c r="B57" t="s">
        <v>39</v>
      </c>
      <c r="C57" t="s">
        <v>364</v>
      </c>
      <c r="D57" t="s">
        <v>193</v>
      </c>
    </row>
    <row r="58" spans="2:4" x14ac:dyDescent="0.3">
      <c r="B58" t="s">
        <v>64</v>
      </c>
      <c r="C58" t="s">
        <v>365</v>
      </c>
      <c r="D58" t="s">
        <v>219</v>
      </c>
    </row>
    <row r="59" spans="2:4" x14ac:dyDescent="0.3">
      <c r="B59" t="s">
        <v>126</v>
      </c>
      <c r="C59" t="s">
        <v>366</v>
      </c>
      <c r="D59" t="s">
        <v>281</v>
      </c>
    </row>
    <row r="60" spans="2:4" x14ac:dyDescent="0.3">
      <c r="B60" t="s">
        <v>69</v>
      </c>
      <c r="C60" t="s">
        <v>367</v>
      </c>
      <c r="D60" t="s">
        <v>224</v>
      </c>
    </row>
    <row r="61" spans="2:4" x14ac:dyDescent="0.3">
      <c r="B61" t="s">
        <v>13</v>
      </c>
      <c r="C61" t="s">
        <v>368</v>
      </c>
      <c r="D61" t="s">
        <v>167</v>
      </c>
    </row>
    <row r="62" spans="2:4" x14ac:dyDescent="0.3">
      <c r="B62" t="s">
        <v>74</v>
      </c>
      <c r="C62" t="s">
        <v>369</v>
      </c>
      <c r="D62" t="s">
        <v>229</v>
      </c>
    </row>
    <row r="63" spans="2:4" x14ac:dyDescent="0.3">
      <c r="B63" t="s">
        <v>63</v>
      </c>
      <c r="C63" t="s">
        <v>370</v>
      </c>
      <c r="D63" t="s">
        <v>218</v>
      </c>
    </row>
    <row r="64" spans="2:4" x14ac:dyDescent="0.3">
      <c r="B64" t="s">
        <v>94</v>
      </c>
      <c r="C64" t="s">
        <v>371</v>
      </c>
      <c r="D64" t="s">
        <v>249</v>
      </c>
    </row>
    <row r="65" spans="2:4" x14ac:dyDescent="0.3">
      <c r="B65" t="s">
        <v>80</v>
      </c>
      <c r="C65" t="s">
        <v>372</v>
      </c>
      <c r="D65" t="s">
        <v>235</v>
      </c>
    </row>
    <row r="66" spans="2:4" x14ac:dyDescent="0.3">
      <c r="B66" t="s">
        <v>10</v>
      </c>
      <c r="C66" t="s">
        <v>373</v>
      </c>
      <c r="D66" t="s">
        <v>164</v>
      </c>
    </row>
    <row r="67" spans="2:4" x14ac:dyDescent="0.3">
      <c r="B67" t="s">
        <v>107</v>
      </c>
      <c r="C67" t="s">
        <v>374</v>
      </c>
      <c r="D67" t="s">
        <v>262</v>
      </c>
    </row>
    <row r="68" spans="2:4" x14ac:dyDescent="0.3">
      <c r="B68" t="s">
        <v>128</v>
      </c>
      <c r="C68" t="s">
        <v>375</v>
      </c>
      <c r="D68" t="s">
        <v>283</v>
      </c>
    </row>
    <row r="69" spans="2:4" x14ac:dyDescent="0.3">
      <c r="B69" t="s">
        <v>105</v>
      </c>
      <c r="C69" t="s">
        <v>376</v>
      </c>
      <c r="D69" t="s">
        <v>260</v>
      </c>
    </row>
    <row r="70" spans="2:4" x14ac:dyDescent="0.3">
      <c r="B70" t="s">
        <v>31</v>
      </c>
      <c r="C70" t="s">
        <v>377</v>
      </c>
      <c r="D70" t="s">
        <v>185</v>
      </c>
    </row>
    <row r="71" spans="2:4" x14ac:dyDescent="0.3">
      <c r="B71" t="s">
        <v>151</v>
      </c>
      <c r="C71" t="s">
        <v>378</v>
      </c>
      <c r="D71" t="s">
        <v>306</v>
      </c>
    </row>
    <row r="72" spans="2:4" x14ac:dyDescent="0.3">
      <c r="B72" t="s">
        <v>43</v>
      </c>
      <c r="C72" t="s">
        <v>379</v>
      </c>
      <c r="D72" t="s">
        <v>197</v>
      </c>
    </row>
    <row r="73" spans="2:4" x14ac:dyDescent="0.3">
      <c r="B73" t="s">
        <v>26</v>
      </c>
      <c r="C73" t="s">
        <v>380</v>
      </c>
      <c r="D73" t="s">
        <v>180</v>
      </c>
    </row>
    <row r="74" spans="2:4" x14ac:dyDescent="0.3">
      <c r="B74" t="s">
        <v>35</v>
      </c>
      <c r="C74" t="s">
        <v>381</v>
      </c>
      <c r="D74" t="s">
        <v>189</v>
      </c>
    </row>
    <row r="75" spans="2:4" x14ac:dyDescent="0.3">
      <c r="B75" t="s">
        <v>87</v>
      </c>
      <c r="C75" t="s">
        <v>382</v>
      </c>
      <c r="D75" t="s">
        <v>242</v>
      </c>
    </row>
    <row r="76" spans="2:4" x14ac:dyDescent="0.3">
      <c r="B76" t="s">
        <v>45</v>
      </c>
      <c r="C76" t="s">
        <v>383</v>
      </c>
      <c r="D76" t="s">
        <v>199</v>
      </c>
    </row>
    <row r="77" spans="2:4" x14ac:dyDescent="0.3">
      <c r="B77" t="s">
        <v>47</v>
      </c>
      <c r="C77" t="s">
        <v>384</v>
      </c>
      <c r="D77" t="s">
        <v>201</v>
      </c>
    </row>
    <row r="78" spans="2:4" x14ac:dyDescent="0.3">
      <c r="B78" t="s">
        <v>130</v>
      </c>
      <c r="C78" t="s">
        <v>385</v>
      </c>
      <c r="D78" t="s">
        <v>285</v>
      </c>
    </row>
    <row r="79" spans="2:4" x14ac:dyDescent="0.3">
      <c r="B79" t="s">
        <v>29</v>
      </c>
      <c r="C79" t="s">
        <v>386</v>
      </c>
      <c r="D79" t="s">
        <v>183</v>
      </c>
    </row>
    <row r="80" spans="2:4" x14ac:dyDescent="0.3">
      <c r="B80" t="s">
        <v>27</v>
      </c>
      <c r="C80" t="s">
        <v>387</v>
      </c>
      <c r="D80" t="s">
        <v>181</v>
      </c>
    </row>
    <row r="81" spans="2:4" x14ac:dyDescent="0.3">
      <c r="B81" t="s">
        <v>125</v>
      </c>
      <c r="C81" t="s">
        <v>388</v>
      </c>
      <c r="D81" t="s">
        <v>280</v>
      </c>
    </row>
    <row r="82" spans="2:4" x14ac:dyDescent="0.3">
      <c r="B82" t="s">
        <v>3</v>
      </c>
      <c r="C82" t="s">
        <v>389</v>
      </c>
      <c r="D82" t="s">
        <v>157</v>
      </c>
    </row>
    <row r="83" spans="2:4" x14ac:dyDescent="0.3">
      <c r="B83" t="s">
        <v>32</v>
      </c>
      <c r="C83" t="s">
        <v>390</v>
      </c>
      <c r="D83" t="s">
        <v>186</v>
      </c>
    </row>
    <row r="84" spans="2:4" x14ac:dyDescent="0.3">
      <c r="B84" t="s">
        <v>111</v>
      </c>
      <c r="C84" t="s">
        <v>391</v>
      </c>
      <c r="D84" t="s">
        <v>266</v>
      </c>
    </row>
    <row r="85" spans="2:4" x14ac:dyDescent="0.3">
      <c r="B85" t="s">
        <v>146</v>
      </c>
      <c r="C85" t="s">
        <v>392</v>
      </c>
      <c r="D85" t="s">
        <v>301</v>
      </c>
    </row>
    <row r="86" spans="2:4" x14ac:dyDescent="0.3">
      <c r="B86" t="s">
        <v>153</v>
      </c>
      <c r="C86" t="s">
        <v>393</v>
      </c>
      <c r="D86" t="s">
        <v>308</v>
      </c>
    </row>
    <row r="87" spans="2:4" x14ac:dyDescent="0.3">
      <c r="B87" t="s">
        <v>49</v>
      </c>
      <c r="C87" t="s">
        <v>394</v>
      </c>
      <c r="D87" t="s">
        <v>203</v>
      </c>
    </row>
    <row r="88" spans="2:4" x14ac:dyDescent="0.3">
      <c r="B88" t="s">
        <v>73</v>
      </c>
      <c r="C88" t="s">
        <v>395</v>
      </c>
      <c r="D88" t="s">
        <v>228</v>
      </c>
    </row>
    <row r="89" spans="2:4" x14ac:dyDescent="0.3">
      <c r="B89" t="s">
        <v>20</v>
      </c>
      <c r="C89" t="s">
        <v>396</v>
      </c>
      <c r="D89" t="s">
        <v>174</v>
      </c>
    </row>
    <row r="90" spans="2:4" x14ac:dyDescent="0.3">
      <c r="B90" t="s">
        <v>115</v>
      </c>
      <c r="C90" t="s">
        <v>397</v>
      </c>
      <c r="D90" t="s">
        <v>270</v>
      </c>
    </row>
    <row r="91" spans="2:4" x14ac:dyDescent="0.3">
      <c r="B91" t="s">
        <v>118</v>
      </c>
      <c r="C91" t="s">
        <v>398</v>
      </c>
      <c r="D91" t="s">
        <v>273</v>
      </c>
    </row>
    <row r="92" spans="2:4" x14ac:dyDescent="0.3">
      <c r="B92" t="s">
        <v>152</v>
      </c>
      <c r="C92" t="s">
        <v>399</v>
      </c>
      <c r="D92" t="s">
        <v>307</v>
      </c>
    </row>
    <row r="93" spans="2:4" x14ac:dyDescent="0.3">
      <c r="B93" t="s">
        <v>41</v>
      </c>
      <c r="C93" t="s">
        <v>400</v>
      </c>
      <c r="D93" t="s">
        <v>195</v>
      </c>
    </row>
    <row r="94" spans="2:4" x14ac:dyDescent="0.3">
      <c r="B94" t="s">
        <v>33</v>
      </c>
      <c r="C94" t="s">
        <v>401</v>
      </c>
      <c r="D94" t="s">
        <v>187</v>
      </c>
    </row>
    <row r="95" spans="2:4" x14ac:dyDescent="0.3">
      <c r="B95" t="s">
        <v>58</v>
      </c>
      <c r="C95" t="s">
        <v>402</v>
      </c>
      <c r="D95" t="s">
        <v>213</v>
      </c>
    </row>
    <row r="96" spans="2:4" x14ac:dyDescent="0.3">
      <c r="B96" t="s">
        <v>109</v>
      </c>
      <c r="C96" t="s">
        <v>403</v>
      </c>
      <c r="D96" t="s">
        <v>264</v>
      </c>
    </row>
    <row r="97" spans="2:4" x14ac:dyDescent="0.3">
      <c r="B97" t="s">
        <v>30</v>
      </c>
      <c r="C97" t="s">
        <v>404</v>
      </c>
      <c r="D97" t="s">
        <v>184</v>
      </c>
    </row>
    <row r="98" spans="2:4" x14ac:dyDescent="0.3">
      <c r="B98" t="s">
        <v>67</v>
      </c>
      <c r="C98" t="s">
        <v>405</v>
      </c>
      <c r="D98" t="s">
        <v>222</v>
      </c>
    </row>
    <row r="99" spans="2:4" x14ac:dyDescent="0.3">
      <c r="B99" t="s">
        <v>100</v>
      </c>
      <c r="C99" t="s">
        <v>406</v>
      </c>
      <c r="D99" t="s">
        <v>255</v>
      </c>
    </row>
    <row r="100" spans="2:4" x14ac:dyDescent="0.3">
      <c r="B100" t="s">
        <v>48</v>
      </c>
      <c r="C100" t="s">
        <v>407</v>
      </c>
      <c r="D100" t="s">
        <v>202</v>
      </c>
    </row>
    <row r="101" spans="2:4" x14ac:dyDescent="0.3">
      <c r="B101" t="s">
        <v>72</v>
      </c>
      <c r="C101" t="s">
        <v>408</v>
      </c>
      <c r="D101" t="s">
        <v>227</v>
      </c>
    </row>
    <row r="102" spans="2:4" x14ac:dyDescent="0.3">
      <c r="B102" t="s">
        <v>38</v>
      </c>
      <c r="C102" t="s">
        <v>409</v>
      </c>
      <c r="D102" t="s">
        <v>192</v>
      </c>
    </row>
    <row r="103" spans="2:4" x14ac:dyDescent="0.3">
      <c r="B103" t="s">
        <v>9</v>
      </c>
      <c r="C103" t="s">
        <v>410</v>
      </c>
      <c r="D103" t="s">
        <v>163</v>
      </c>
    </row>
    <row r="104" spans="2:4" x14ac:dyDescent="0.3">
      <c r="B104" t="s">
        <v>71</v>
      </c>
      <c r="C104" t="s">
        <v>411</v>
      </c>
      <c r="D104" t="s">
        <v>226</v>
      </c>
    </row>
    <row r="105" spans="2:4" x14ac:dyDescent="0.3">
      <c r="B105" t="s">
        <v>91</v>
      </c>
      <c r="C105" t="s">
        <v>412</v>
      </c>
      <c r="D105" t="s">
        <v>246</v>
      </c>
    </row>
    <row r="106" spans="2:4" x14ac:dyDescent="0.3">
      <c r="B106" t="s">
        <v>22</v>
      </c>
      <c r="C106" t="s">
        <v>413</v>
      </c>
      <c r="D106" t="s">
        <v>176</v>
      </c>
    </row>
    <row r="107" spans="2:4" x14ac:dyDescent="0.3">
      <c r="B107" t="s">
        <v>141</v>
      </c>
      <c r="C107" t="s">
        <v>414</v>
      </c>
      <c r="D107" t="s">
        <v>296</v>
      </c>
    </row>
    <row r="108" spans="2:4" x14ac:dyDescent="0.3">
      <c r="B108" t="s">
        <v>12</v>
      </c>
      <c r="C108" t="s">
        <v>415</v>
      </c>
      <c r="D108" t="s">
        <v>166</v>
      </c>
    </row>
    <row r="109" spans="2:4" x14ac:dyDescent="0.3">
      <c r="B109" t="s">
        <v>19</v>
      </c>
      <c r="C109" t="s">
        <v>416</v>
      </c>
      <c r="D109" t="s">
        <v>173</v>
      </c>
    </row>
    <row r="110" spans="2:4" x14ac:dyDescent="0.3">
      <c r="B110" t="s">
        <v>117</v>
      </c>
      <c r="C110" t="s">
        <v>417</v>
      </c>
      <c r="D110" t="s">
        <v>272</v>
      </c>
    </row>
    <row r="111" spans="2:4" x14ac:dyDescent="0.3">
      <c r="B111" t="s">
        <v>138</v>
      </c>
      <c r="C111" t="s">
        <v>418</v>
      </c>
      <c r="D111" t="s">
        <v>293</v>
      </c>
    </row>
    <row r="112" spans="2:4" x14ac:dyDescent="0.3">
      <c r="B112" t="s">
        <v>52</v>
      </c>
      <c r="C112" t="s">
        <v>419</v>
      </c>
      <c r="D112" t="s">
        <v>206</v>
      </c>
    </row>
    <row r="113" spans="2:4" x14ac:dyDescent="0.3">
      <c r="B113" t="s">
        <v>75</v>
      </c>
      <c r="C113" t="s">
        <v>420</v>
      </c>
      <c r="D113" t="s">
        <v>230</v>
      </c>
    </row>
    <row r="114" spans="2:4" x14ac:dyDescent="0.3">
      <c r="B114" t="s">
        <v>61</v>
      </c>
      <c r="C114" t="s">
        <v>421</v>
      </c>
      <c r="D114" t="s">
        <v>216</v>
      </c>
    </row>
    <row r="115" spans="2:4" x14ac:dyDescent="0.3">
      <c r="B115" t="s">
        <v>50</v>
      </c>
      <c r="C115" t="s">
        <v>422</v>
      </c>
      <c r="D115" t="s">
        <v>204</v>
      </c>
    </row>
    <row r="116" spans="2:4" x14ac:dyDescent="0.3">
      <c r="B116" t="s">
        <v>18</v>
      </c>
      <c r="C116" t="s">
        <v>423</v>
      </c>
      <c r="D116" t="s">
        <v>172</v>
      </c>
    </row>
    <row r="117" spans="2:4" x14ac:dyDescent="0.3">
      <c r="B117" t="s">
        <v>112</v>
      </c>
      <c r="C117" t="s">
        <v>424</v>
      </c>
      <c r="D117" t="s">
        <v>267</v>
      </c>
    </row>
    <row r="118" spans="2:4" x14ac:dyDescent="0.3">
      <c r="B118" t="s">
        <v>134</v>
      </c>
      <c r="C118" t="s">
        <v>425</v>
      </c>
      <c r="D118" t="s">
        <v>289</v>
      </c>
    </row>
    <row r="119" spans="2:4" x14ac:dyDescent="0.3">
      <c r="B119" t="s">
        <v>57</v>
      </c>
      <c r="C119" t="s">
        <v>426</v>
      </c>
      <c r="D119" t="s">
        <v>212</v>
      </c>
    </row>
    <row r="120" spans="2:4" x14ac:dyDescent="0.3">
      <c r="B120" t="s">
        <v>79</v>
      </c>
      <c r="C120" t="s">
        <v>427</v>
      </c>
      <c r="D120" t="s">
        <v>234</v>
      </c>
    </row>
    <row r="121" spans="2:4" x14ac:dyDescent="0.3">
      <c r="B121" t="s">
        <v>81</v>
      </c>
      <c r="C121" t="s">
        <v>428</v>
      </c>
      <c r="D121" t="s">
        <v>236</v>
      </c>
    </row>
    <row r="122" spans="2:4" x14ac:dyDescent="0.3">
      <c r="B122" t="s">
        <v>77</v>
      </c>
      <c r="C122" t="s">
        <v>429</v>
      </c>
      <c r="D122" t="s">
        <v>232</v>
      </c>
    </row>
    <row r="123" spans="2:4" x14ac:dyDescent="0.3">
      <c r="B123" t="s">
        <v>4</v>
      </c>
      <c r="C123" t="s">
        <v>430</v>
      </c>
      <c r="D123" t="s">
        <v>158</v>
      </c>
    </row>
    <row r="124" spans="2:4" x14ac:dyDescent="0.3">
      <c r="B124" t="s">
        <v>99</v>
      </c>
      <c r="C124" t="s">
        <v>431</v>
      </c>
      <c r="D124" t="s">
        <v>254</v>
      </c>
    </row>
    <row r="125" spans="2:4" x14ac:dyDescent="0.3">
      <c r="B125" t="s">
        <v>135</v>
      </c>
      <c r="C125" t="s">
        <v>432</v>
      </c>
      <c r="D125" t="s">
        <v>290</v>
      </c>
    </row>
    <row r="126" spans="2:4" x14ac:dyDescent="0.3">
      <c r="B126" t="s">
        <v>66</v>
      </c>
      <c r="C126" t="s">
        <v>433</v>
      </c>
      <c r="D126" t="s">
        <v>221</v>
      </c>
    </row>
    <row r="127" spans="2:4" x14ac:dyDescent="0.3">
      <c r="B127" t="s">
        <v>76</v>
      </c>
      <c r="C127" t="s">
        <v>434</v>
      </c>
      <c r="D127" t="s">
        <v>231</v>
      </c>
    </row>
    <row r="128" spans="2:4" x14ac:dyDescent="0.3">
      <c r="B128" t="s">
        <v>88</v>
      </c>
      <c r="C128" t="s">
        <v>435</v>
      </c>
      <c r="D128" t="s">
        <v>243</v>
      </c>
    </row>
    <row r="129" spans="2:4" x14ac:dyDescent="0.3">
      <c r="B129" t="s">
        <v>129</v>
      </c>
      <c r="C129" t="s">
        <v>436</v>
      </c>
      <c r="D129" t="s">
        <v>284</v>
      </c>
    </row>
    <row r="130" spans="2:4" x14ac:dyDescent="0.3">
      <c r="B130" t="s">
        <v>65</v>
      </c>
      <c r="C130" t="s">
        <v>437</v>
      </c>
      <c r="D130" t="s">
        <v>220</v>
      </c>
    </row>
    <row r="131" spans="2:4" x14ac:dyDescent="0.3">
      <c r="B131" t="s">
        <v>86</v>
      </c>
      <c r="C131" t="s">
        <v>438</v>
      </c>
      <c r="D131" t="s">
        <v>241</v>
      </c>
    </row>
    <row r="132" spans="2:4" x14ac:dyDescent="0.3">
      <c r="B132" t="s">
        <v>96</v>
      </c>
      <c r="C132" t="s">
        <v>439</v>
      </c>
      <c r="D132" t="s">
        <v>251</v>
      </c>
    </row>
    <row r="133" spans="2:4" x14ac:dyDescent="0.3">
      <c r="B133" t="s">
        <v>6</v>
      </c>
      <c r="C133" t="s">
        <v>440</v>
      </c>
      <c r="D133" t="s">
        <v>160</v>
      </c>
    </row>
    <row r="134" spans="2:4" x14ac:dyDescent="0.3">
      <c r="B134" t="s">
        <v>44</v>
      </c>
      <c r="C134" t="s">
        <v>441</v>
      </c>
      <c r="D134" t="s">
        <v>198</v>
      </c>
    </row>
    <row r="135" spans="2:4" x14ac:dyDescent="0.3">
      <c r="B135" t="s">
        <v>106</v>
      </c>
      <c r="C135" t="s">
        <v>442</v>
      </c>
      <c r="D135" t="s">
        <v>261</v>
      </c>
    </row>
    <row r="136" spans="2:4" x14ac:dyDescent="0.3">
      <c r="B136" t="s">
        <v>113</v>
      </c>
      <c r="C136" t="s">
        <v>443</v>
      </c>
      <c r="D136" t="s">
        <v>268</v>
      </c>
    </row>
    <row r="137" spans="2:4" x14ac:dyDescent="0.3">
      <c r="B137" t="s">
        <v>143</v>
      </c>
      <c r="C137" t="s">
        <v>444</v>
      </c>
      <c r="D137" t="s">
        <v>298</v>
      </c>
    </row>
    <row r="138" spans="2:4" x14ac:dyDescent="0.3">
      <c r="B138" t="s">
        <v>149</v>
      </c>
      <c r="C138" t="s">
        <v>445</v>
      </c>
      <c r="D138" t="s">
        <v>304</v>
      </c>
    </row>
    <row r="139" spans="2:4" x14ac:dyDescent="0.3">
      <c r="B139" t="s">
        <v>90</v>
      </c>
      <c r="C139" t="s">
        <v>446</v>
      </c>
      <c r="D139" t="s">
        <v>245</v>
      </c>
    </row>
    <row r="140" spans="2:4" x14ac:dyDescent="0.3">
      <c r="B140" t="s">
        <v>145</v>
      </c>
      <c r="C140" t="s">
        <v>447</v>
      </c>
      <c r="D140" t="s">
        <v>300</v>
      </c>
    </row>
    <row r="141" spans="2:4" x14ac:dyDescent="0.3">
      <c r="B141" t="s">
        <v>78</v>
      </c>
      <c r="C141" t="s">
        <v>448</v>
      </c>
      <c r="D141" t="s">
        <v>233</v>
      </c>
    </row>
    <row r="142" spans="2:4" x14ac:dyDescent="0.3">
      <c r="B142" t="s">
        <v>5</v>
      </c>
      <c r="C142" t="s">
        <v>449</v>
      </c>
      <c r="D142" t="s">
        <v>159</v>
      </c>
    </row>
    <row r="143" spans="2:4" x14ac:dyDescent="0.3">
      <c r="B143" t="s">
        <v>37</v>
      </c>
      <c r="C143" t="s">
        <v>450</v>
      </c>
      <c r="D143" t="s">
        <v>191</v>
      </c>
    </row>
    <row r="144" spans="2:4" x14ac:dyDescent="0.3">
      <c r="B144" t="s">
        <v>8</v>
      </c>
      <c r="C144" t="s">
        <v>451</v>
      </c>
      <c r="D144" t="s">
        <v>162</v>
      </c>
    </row>
    <row r="145" spans="2:4" x14ac:dyDescent="0.3">
      <c r="B145" t="s">
        <v>14</v>
      </c>
      <c r="C145" t="s">
        <v>452</v>
      </c>
      <c r="D145" t="s">
        <v>168</v>
      </c>
    </row>
    <row r="146" spans="2:4" x14ac:dyDescent="0.3">
      <c r="B146" t="s">
        <v>40</v>
      </c>
      <c r="C146" t="s">
        <v>453</v>
      </c>
      <c r="D146" t="s">
        <v>194</v>
      </c>
    </row>
    <row r="147" spans="2:4" x14ac:dyDescent="0.3">
      <c r="B147" t="s">
        <v>148</v>
      </c>
      <c r="C147" t="s">
        <v>454</v>
      </c>
      <c r="D147" t="s">
        <v>303</v>
      </c>
    </row>
    <row r="148" spans="2:4" x14ac:dyDescent="0.3">
      <c r="B148" t="s">
        <v>103</v>
      </c>
      <c r="C148" t="s">
        <v>455</v>
      </c>
      <c r="D148" t="s">
        <v>258</v>
      </c>
    </row>
    <row r="149" spans="2:4" x14ac:dyDescent="0.3">
      <c r="B149" t="s">
        <v>93</v>
      </c>
      <c r="C149" t="s">
        <v>456</v>
      </c>
      <c r="D149" t="s">
        <v>248</v>
      </c>
    </row>
    <row r="150" spans="2:4" x14ac:dyDescent="0.3">
      <c r="B150" t="s">
        <v>127</v>
      </c>
      <c r="C150" t="s">
        <v>457</v>
      </c>
      <c r="D150" t="s">
        <v>282</v>
      </c>
    </row>
    <row r="151" spans="2:4" x14ac:dyDescent="0.3">
      <c r="B151" t="s">
        <v>28</v>
      </c>
      <c r="C151" t="s">
        <v>458</v>
      </c>
      <c r="D151" t="s">
        <v>182</v>
      </c>
    </row>
    <row r="152" spans="2:4" x14ac:dyDescent="0.3">
      <c r="B152" t="s">
        <v>70</v>
      </c>
      <c r="C152" t="s">
        <v>459</v>
      </c>
      <c r="D152" t="s">
        <v>225</v>
      </c>
    </row>
    <row r="153" spans="2:4" x14ac:dyDescent="0.3">
      <c r="B153" t="s">
        <v>102</v>
      </c>
      <c r="C153" t="s">
        <v>460</v>
      </c>
      <c r="D153" t="s">
        <v>257</v>
      </c>
    </row>
    <row r="154" spans="2:4" x14ac:dyDescent="0.3">
      <c r="B154" t="s">
        <v>147</v>
      </c>
      <c r="C154" t="s">
        <v>461</v>
      </c>
      <c r="D154" t="s">
        <v>302</v>
      </c>
    </row>
    <row r="155" spans="2:4" x14ac:dyDescent="0.3">
      <c r="B155" t="s">
        <v>131</v>
      </c>
      <c r="C155" t="s">
        <v>462</v>
      </c>
      <c r="D155" t="s">
        <v>286</v>
      </c>
    </row>
    <row r="156" spans="2:4" x14ac:dyDescent="0.3">
      <c r="B156" t="s">
        <v>51</v>
      </c>
      <c r="C156" t="s">
        <v>463</v>
      </c>
      <c r="D156" t="s">
        <v>205</v>
      </c>
    </row>
    <row r="157" spans="2:4" x14ac:dyDescent="0.3">
      <c r="B157" t="s">
        <v>54</v>
      </c>
      <c r="C157" t="s">
        <v>464</v>
      </c>
      <c r="D157" t="s">
        <v>209</v>
      </c>
    </row>
    <row r="158" spans="2:4" x14ac:dyDescent="0.3">
      <c r="B158" t="s">
        <v>59</v>
      </c>
      <c r="C158" t="s">
        <v>465</v>
      </c>
      <c r="D158" t="s">
        <v>214</v>
      </c>
    </row>
    <row r="159" spans="2:4" x14ac:dyDescent="0.3">
      <c r="B159" t="s">
        <v>133</v>
      </c>
      <c r="C159" t="s">
        <v>466</v>
      </c>
      <c r="D159" t="s">
        <v>288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J30"/>
  <sheetViews>
    <sheetView showGridLines="0" workbookViewId="0">
      <selection activeCell="L12" sqref="L12"/>
    </sheetView>
  </sheetViews>
  <sheetFormatPr defaultRowHeight="14.4" x14ac:dyDescent="0.3"/>
  <cols>
    <col min="1" max="1" width="3.33203125" customWidth="1"/>
    <col min="2" max="2" width="10.44140625" customWidth="1"/>
    <col min="3" max="5" width="4.5546875" customWidth="1"/>
    <col min="6" max="6" width="3.5546875" customWidth="1"/>
    <col min="7" max="7" width="5.44140625" customWidth="1"/>
    <col min="8" max="8" width="14.44140625" customWidth="1"/>
    <col min="9" max="9" width="11.6640625" customWidth="1"/>
    <col min="10" max="10" width="13.109375" bestFit="1" customWidth="1"/>
  </cols>
  <sheetData>
    <row r="1" spans="1:10" x14ac:dyDescent="0.3">
      <c r="A1" s="5"/>
      <c r="B1" s="29"/>
      <c r="C1" s="29"/>
      <c r="D1" s="29"/>
      <c r="E1" s="29"/>
      <c r="F1" s="29"/>
      <c r="G1" s="29"/>
      <c r="H1" s="29"/>
      <c r="I1" s="29"/>
      <c r="J1" s="29"/>
    </row>
    <row r="2" spans="1:10" x14ac:dyDescent="0.3">
      <c r="A2" s="5"/>
      <c r="B2" s="29"/>
      <c r="C2" s="29"/>
      <c r="D2" s="29"/>
      <c r="E2" s="29"/>
      <c r="F2" s="29"/>
      <c r="G2" s="30" t="s">
        <v>472</v>
      </c>
      <c r="H2" s="29"/>
      <c r="I2" s="31"/>
      <c r="J2" s="31"/>
    </row>
    <row r="3" spans="1:10" x14ac:dyDescent="0.3">
      <c r="A3" s="5"/>
      <c r="B3" s="29"/>
      <c r="C3" s="29"/>
      <c r="D3" s="29"/>
      <c r="E3" s="29"/>
      <c r="F3" s="29"/>
      <c r="G3" s="32" t="s">
        <v>503</v>
      </c>
      <c r="H3" s="33"/>
      <c r="I3" s="33"/>
      <c r="J3" s="33"/>
    </row>
    <row r="4" spans="1:10" x14ac:dyDescent="0.3">
      <c r="A4" s="5"/>
      <c r="B4" s="29"/>
      <c r="C4" s="29"/>
      <c r="D4" s="29"/>
      <c r="E4" s="29"/>
      <c r="F4" s="29"/>
      <c r="G4" s="29" t="s">
        <v>498</v>
      </c>
      <c r="H4" s="29"/>
      <c r="I4" s="29"/>
      <c r="J4" s="29"/>
    </row>
    <row r="5" spans="1:10" x14ac:dyDescent="0.3">
      <c r="A5" s="5"/>
      <c r="B5" s="33" t="s">
        <v>471</v>
      </c>
      <c r="C5" s="29"/>
      <c r="D5" s="29"/>
      <c r="E5" s="29"/>
      <c r="F5" s="29"/>
      <c r="G5" s="29" t="s">
        <v>2</v>
      </c>
      <c r="H5" s="29"/>
      <c r="I5" s="29"/>
      <c r="J5" s="29"/>
    </row>
    <row r="6" spans="1:10" x14ac:dyDescent="0.3">
      <c r="A6" s="5"/>
      <c r="B6" s="29" t="s">
        <v>473</v>
      </c>
      <c r="C6" s="29"/>
      <c r="D6" s="29"/>
      <c r="E6" s="29"/>
      <c r="F6" s="29"/>
      <c r="G6" s="29" t="s">
        <v>500</v>
      </c>
      <c r="H6" s="29"/>
      <c r="I6" s="76"/>
      <c r="J6" s="29"/>
    </row>
    <row r="7" spans="1:10" x14ac:dyDescent="0.3">
      <c r="A7" s="5"/>
      <c r="B7" s="29" t="s">
        <v>475</v>
      </c>
      <c r="C7" s="29"/>
      <c r="D7" s="29"/>
      <c r="E7" s="29"/>
      <c r="F7" s="29"/>
      <c r="G7" s="5"/>
      <c r="H7" s="29"/>
      <c r="I7" s="29"/>
      <c r="J7" s="29"/>
    </row>
    <row r="8" spans="1:10" x14ac:dyDescent="0.3">
      <c r="A8" s="5"/>
      <c r="C8" s="29"/>
      <c r="D8" s="29"/>
      <c r="E8" s="29"/>
      <c r="F8" s="29"/>
      <c r="H8" s="29"/>
      <c r="I8" s="29"/>
      <c r="J8" s="29"/>
    </row>
    <row r="9" spans="1:10" x14ac:dyDescent="0.3">
      <c r="A9" s="5"/>
      <c r="B9" s="29"/>
      <c r="C9" s="29"/>
      <c r="D9" s="29"/>
      <c r="E9" s="29"/>
      <c r="F9" s="29"/>
      <c r="G9" s="30" t="s">
        <v>474</v>
      </c>
      <c r="H9" s="29"/>
      <c r="I9" s="29"/>
      <c r="J9" s="29"/>
    </row>
    <row r="10" spans="1:10" x14ac:dyDescent="0.3">
      <c r="A10" s="5"/>
      <c r="B10" s="34"/>
      <c r="C10" s="36"/>
      <c r="D10" s="35"/>
      <c r="E10" s="35"/>
      <c r="F10" s="35"/>
      <c r="G10" s="37"/>
      <c r="H10" s="37"/>
      <c r="I10" s="37"/>
      <c r="J10" s="37"/>
    </row>
    <row r="11" spans="1:10" x14ac:dyDescent="0.3">
      <c r="A11" s="5"/>
      <c r="B11" s="35"/>
      <c r="C11" s="35"/>
      <c r="D11" s="35"/>
      <c r="E11" s="35"/>
      <c r="F11" s="35"/>
      <c r="G11" s="35"/>
      <c r="H11" s="35"/>
      <c r="I11" s="35"/>
      <c r="J11" s="35"/>
    </row>
    <row r="12" spans="1:10" x14ac:dyDescent="0.3">
      <c r="A12" s="61"/>
      <c r="B12" s="63" t="s">
        <v>505</v>
      </c>
      <c r="C12" s="62"/>
      <c r="D12" s="62"/>
      <c r="E12" s="62"/>
      <c r="F12" s="62"/>
      <c r="G12" s="62"/>
      <c r="H12" s="64" t="s">
        <v>506</v>
      </c>
      <c r="I12" s="65" t="s">
        <v>501</v>
      </c>
      <c r="J12" s="66" t="s">
        <v>467</v>
      </c>
    </row>
    <row r="13" spans="1:10" x14ac:dyDescent="0.3">
      <c r="A13" s="61"/>
      <c r="B13" s="38"/>
      <c r="C13" s="39"/>
      <c r="D13" s="29"/>
      <c r="E13" s="29"/>
      <c r="F13" s="29"/>
      <c r="G13" s="40"/>
      <c r="H13" s="70"/>
      <c r="I13" s="70"/>
      <c r="J13" s="70"/>
    </row>
    <row r="14" spans="1:10" x14ac:dyDescent="0.3">
      <c r="A14" s="61"/>
      <c r="B14" s="44"/>
      <c r="C14" s="45"/>
      <c r="D14" s="45"/>
      <c r="E14" s="45"/>
      <c r="F14" s="45"/>
      <c r="G14" s="46"/>
      <c r="H14" s="71"/>
      <c r="I14" s="72"/>
      <c r="J14" s="71"/>
    </row>
    <row r="15" spans="1:10" x14ac:dyDescent="0.3">
      <c r="A15" s="61"/>
      <c r="B15" s="38"/>
      <c r="C15" s="39"/>
      <c r="D15" s="29"/>
      <c r="E15" s="29"/>
      <c r="F15" s="29"/>
      <c r="G15" s="40"/>
      <c r="H15" s="70"/>
      <c r="I15" s="70"/>
      <c r="J15" s="70"/>
    </row>
    <row r="16" spans="1:10" x14ac:dyDescent="0.3">
      <c r="A16" s="61"/>
      <c r="B16" s="47"/>
      <c r="C16" s="45"/>
      <c r="D16" s="45"/>
      <c r="E16" s="45"/>
      <c r="F16" s="45"/>
      <c r="G16" s="46"/>
      <c r="H16" s="71"/>
      <c r="I16" s="71"/>
      <c r="J16" s="71"/>
    </row>
    <row r="17" spans="1:10" x14ac:dyDescent="0.3">
      <c r="A17" s="61"/>
      <c r="B17" s="38"/>
      <c r="C17" s="39"/>
      <c r="D17" s="29"/>
      <c r="E17" s="29"/>
      <c r="F17" s="29"/>
      <c r="G17" s="40"/>
      <c r="H17" s="70"/>
      <c r="I17" s="70"/>
      <c r="J17" s="70"/>
    </row>
    <row r="18" spans="1:10" x14ac:dyDescent="0.3">
      <c r="A18" s="61"/>
      <c r="B18" s="44"/>
      <c r="C18" s="45"/>
      <c r="D18" s="45"/>
      <c r="E18" s="45"/>
      <c r="F18" s="45"/>
      <c r="G18" s="45"/>
      <c r="H18" s="48"/>
      <c r="I18" s="49"/>
      <c r="J18" s="50"/>
    </row>
    <row r="19" spans="1:10" x14ac:dyDescent="0.3">
      <c r="A19" s="61"/>
      <c r="B19" s="78"/>
      <c r="C19" s="79"/>
      <c r="D19" s="40"/>
      <c r="E19" s="29"/>
      <c r="F19" s="29"/>
      <c r="G19" s="40"/>
      <c r="H19" s="41"/>
      <c r="I19" s="42"/>
      <c r="J19" s="43"/>
    </row>
    <row r="20" spans="1:10" x14ac:dyDescent="0.3">
      <c r="A20" s="61"/>
      <c r="B20" s="51"/>
      <c r="C20" s="52"/>
      <c r="D20" s="53"/>
      <c r="E20" s="45"/>
      <c r="F20" s="45"/>
      <c r="G20" s="45"/>
      <c r="H20" s="48"/>
      <c r="I20" s="49"/>
      <c r="J20" s="50"/>
    </row>
    <row r="21" spans="1:10" x14ac:dyDescent="0.3">
      <c r="A21" s="61"/>
      <c r="B21" s="38"/>
      <c r="C21" s="39"/>
      <c r="D21" s="29"/>
      <c r="E21" s="29"/>
      <c r="F21" s="29"/>
      <c r="G21" s="40"/>
      <c r="H21" s="41"/>
      <c r="I21" s="42"/>
      <c r="J21" s="43"/>
    </row>
    <row r="22" spans="1:10" x14ac:dyDescent="0.3">
      <c r="A22" s="61"/>
      <c r="B22" s="47"/>
      <c r="C22" s="45"/>
      <c r="D22" s="45"/>
      <c r="E22" s="45"/>
      <c r="F22" s="45"/>
      <c r="G22" s="45"/>
      <c r="H22" s="48"/>
      <c r="I22" s="49"/>
      <c r="J22" s="50"/>
    </row>
    <row r="23" spans="1:10" x14ac:dyDescent="0.3">
      <c r="A23" s="61"/>
      <c r="B23" s="38"/>
      <c r="C23" s="39"/>
      <c r="D23" s="29"/>
      <c r="E23" s="29"/>
      <c r="F23" s="29"/>
      <c r="G23" s="40"/>
      <c r="H23" s="41"/>
      <c r="I23" s="42"/>
      <c r="J23" s="43"/>
    </row>
    <row r="24" spans="1:10" x14ac:dyDescent="0.3">
      <c r="A24" s="61"/>
      <c r="B24" s="44"/>
      <c r="C24" s="45"/>
      <c r="D24" s="45"/>
      <c r="E24" s="45"/>
      <c r="F24" s="45"/>
      <c r="G24" s="45"/>
      <c r="H24" s="48"/>
      <c r="I24" s="49"/>
      <c r="J24" s="50"/>
    </row>
    <row r="25" spans="1:10" x14ac:dyDescent="0.3">
      <c r="A25" s="61"/>
      <c r="B25" s="54"/>
      <c r="C25" s="55"/>
      <c r="D25" s="55"/>
      <c r="E25" s="55"/>
      <c r="F25" s="55"/>
      <c r="G25" s="55"/>
      <c r="H25" s="56"/>
      <c r="I25" s="57"/>
      <c r="J25" s="58"/>
    </row>
    <row r="26" spans="1:10" x14ac:dyDescent="0.3">
      <c r="A26" s="61"/>
      <c r="B26" s="29"/>
      <c r="C26" s="29"/>
      <c r="D26" s="29"/>
      <c r="E26" s="29"/>
      <c r="F26" s="29"/>
      <c r="G26" s="29"/>
      <c r="H26" s="29"/>
      <c r="I26" s="29"/>
      <c r="J26" s="29"/>
    </row>
    <row r="27" spans="1:10" x14ac:dyDescent="0.3">
      <c r="A27" s="29"/>
      <c r="B27" s="29"/>
      <c r="C27" s="29"/>
      <c r="D27" s="29"/>
      <c r="E27" s="29"/>
      <c r="F27" s="29"/>
      <c r="G27" s="29"/>
      <c r="H27" s="31"/>
      <c r="J27" s="73" t="s">
        <v>467</v>
      </c>
    </row>
    <row r="28" spans="1:10" x14ac:dyDescent="0.3">
      <c r="A28" s="29"/>
      <c r="B28" s="29"/>
      <c r="C28" s="29"/>
      <c r="D28" s="29"/>
      <c r="E28" s="29"/>
      <c r="F28" s="29"/>
      <c r="G28" s="29"/>
      <c r="H28" s="31"/>
      <c r="I28" s="31"/>
      <c r="J28" s="74">
        <v>0</v>
      </c>
    </row>
    <row r="29" spans="1:10" x14ac:dyDescent="0.3">
      <c r="A29" s="29"/>
      <c r="B29" s="29"/>
      <c r="C29" s="29"/>
      <c r="D29" s="29"/>
      <c r="E29" s="29"/>
      <c r="F29" s="29"/>
      <c r="G29" s="29"/>
      <c r="H29" s="31"/>
      <c r="I29" s="31"/>
      <c r="J29" s="31"/>
    </row>
    <row r="30" spans="1:10" x14ac:dyDescent="0.3">
      <c r="A30" s="5"/>
      <c r="B30" s="67" t="s">
        <v>476</v>
      </c>
      <c r="C30" s="5"/>
      <c r="D30" s="5"/>
      <c r="E30" s="5"/>
      <c r="F30" s="5"/>
      <c r="G30" s="5"/>
      <c r="H30" s="59"/>
      <c r="I30" s="5"/>
      <c r="J30" s="60"/>
    </row>
  </sheetData>
  <mergeCells count="1">
    <mergeCell ref="B19:C1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imprimir">
                <anchor moveWithCells="1" sizeWithCells="1">
                  <from>
                    <xdr:col>9</xdr:col>
                    <xdr:colOff>662940</xdr:colOff>
                    <xdr:row>0</xdr:row>
                    <xdr:rowOff>175260</xdr:rowOff>
                  </from>
                  <to>
                    <xdr:col>12</xdr:col>
                    <xdr:colOff>0</xdr:colOff>
                    <xdr:row>3</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2:G17"/>
  <sheetViews>
    <sheetView showGridLines="0" tabSelected="1" zoomScaleNormal="100" workbookViewId="0">
      <selection activeCell="E25" sqref="E25"/>
    </sheetView>
  </sheetViews>
  <sheetFormatPr defaultRowHeight="14.4" x14ac:dyDescent="0.3"/>
  <cols>
    <col min="2" max="3" width="18.33203125" customWidth="1"/>
    <col min="4" max="4" width="20.88671875" bestFit="1" customWidth="1"/>
    <col min="5" max="6" width="18.33203125" customWidth="1"/>
    <col min="7" max="7" width="17.88671875" customWidth="1"/>
  </cols>
  <sheetData>
    <row r="2" spans="2:7" s="20" customFormat="1" x14ac:dyDescent="0.3">
      <c r="B2" s="21" t="s">
        <v>507</v>
      </c>
    </row>
    <row r="8" spans="2:7" x14ac:dyDescent="0.3">
      <c r="B8" s="22" t="s">
        <v>502</v>
      </c>
      <c r="C8" s="22" t="s">
        <v>503</v>
      </c>
      <c r="D8" s="22" t="s">
        <v>505</v>
      </c>
      <c r="E8" s="22" t="s">
        <v>506</v>
      </c>
      <c r="F8" s="22" t="s">
        <v>504</v>
      </c>
      <c r="G8" s="22" t="s">
        <v>467</v>
      </c>
    </row>
    <row r="9" spans="2:7" x14ac:dyDescent="0.3">
      <c r="B9" s="25">
        <v>1</v>
      </c>
      <c r="C9" s="23" t="s">
        <v>71</v>
      </c>
      <c r="D9" s="23" t="s">
        <v>468</v>
      </c>
      <c r="E9" s="27">
        <v>1148</v>
      </c>
      <c r="F9" s="27">
        <f>E9*0.21</f>
        <v>241.07999999999998</v>
      </c>
      <c r="G9" s="27">
        <f>E9+F9</f>
        <v>1389.08</v>
      </c>
    </row>
    <row r="10" spans="2:7" x14ac:dyDescent="0.3">
      <c r="B10" s="25">
        <v>2</v>
      </c>
      <c r="C10" s="23" t="s">
        <v>112</v>
      </c>
      <c r="D10" s="23" t="s">
        <v>469</v>
      </c>
      <c r="E10" s="27">
        <v>1759</v>
      </c>
      <c r="F10" s="27">
        <f t="shared" ref="F10:F17" si="0">E10*0.21</f>
        <v>369.39</v>
      </c>
      <c r="G10" s="27">
        <f t="shared" ref="G10:G17" si="1">E10+F10</f>
        <v>2128.39</v>
      </c>
    </row>
    <row r="11" spans="2:7" x14ac:dyDescent="0.3">
      <c r="B11" s="25">
        <v>3</v>
      </c>
      <c r="C11" s="23" t="s">
        <v>14</v>
      </c>
      <c r="D11" s="23" t="s">
        <v>470</v>
      </c>
      <c r="E11" s="27">
        <v>4004</v>
      </c>
      <c r="F11" s="27">
        <f t="shared" si="0"/>
        <v>840.83999999999992</v>
      </c>
      <c r="G11" s="27">
        <f t="shared" si="1"/>
        <v>4844.84</v>
      </c>
    </row>
    <row r="12" spans="2:7" x14ac:dyDescent="0.3">
      <c r="B12" s="25">
        <v>4</v>
      </c>
      <c r="C12" s="23" t="s">
        <v>26</v>
      </c>
      <c r="D12" s="23" t="s">
        <v>480</v>
      </c>
      <c r="E12" s="27">
        <v>3362</v>
      </c>
      <c r="F12" s="27">
        <f t="shared" si="0"/>
        <v>706.02</v>
      </c>
      <c r="G12" s="27">
        <f t="shared" si="1"/>
        <v>4068.02</v>
      </c>
    </row>
    <row r="13" spans="2:7" x14ac:dyDescent="0.3">
      <c r="B13" s="25">
        <v>5</v>
      </c>
      <c r="C13" s="23" t="s">
        <v>82</v>
      </c>
      <c r="D13" s="23" t="s">
        <v>481</v>
      </c>
      <c r="E13" s="27">
        <v>4636</v>
      </c>
      <c r="F13" s="27">
        <f t="shared" si="0"/>
        <v>973.56</v>
      </c>
      <c r="G13" s="27">
        <f t="shared" si="1"/>
        <v>5609.5599999999995</v>
      </c>
    </row>
    <row r="14" spans="2:7" x14ac:dyDescent="0.3">
      <c r="B14" s="25">
        <v>6</v>
      </c>
      <c r="C14" s="23" t="s">
        <v>59</v>
      </c>
      <c r="D14" s="23" t="s">
        <v>469</v>
      </c>
      <c r="E14" s="27">
        <v>1237</v>
      </c>
      <c r="F14" s="27">
        <f t="shared" si="0"/>
        <v>259.77</v>
      </c>
      <c r="G14" s="27">
        <f t="shared" si="1"/>
        <v>1496.77</v>
      </c>
    </row>
    <row r="15" spans="2:7" x14ac:dyDescent="0.3">
      <c r="B15" s="25">
        <v>7</v>
      </c>
      <c r="C15" s="23" t="s">
        <v>28</v>
      </c>
      <c r="D15" s="23" t="s">
        <v>481</v>
      </c>
      <c r="E15" s="27">
        <v>4687</v>
      </c>
      <c r="F15" s="27">
        <f t="shared" si="0"/>
        <v>984.27</v>
      </c>
      <c r="G15" s="27">
        <f t="shared" si="1"/>
        <v>5671.27</v>
      </c>
    </row>
    <row r="16" spans="2:7" x14ac:dyDescent="0.3">
      <c r="B16" s="25">
        <v>8</v>
      </c>
      <c r="C16" s="23" t="s">
        <v>108</v>
      </c>
      <c r="D16" s="23" t="s">
        <v>468</v>
      </c>
      <c r="E16" s="27">
        <v>2099</v>
      </c>
      <c r="F16" s="27">
        <f t="shared" si="0"/>
        <v>440.78999999999996</v>
      </c>
      <c r="G16" s="27">
        <f t="shared" si="1"/>
        <v>2539.79</v>
      </c>
    </row>
    <row r="17" spans="2:7" x14ac:dyDescent="0.3">
      <c r="B17" s="26">
        <v>9</v>
      </c>
      <c r="C17" s="24" t="s">
        <v>88</v>
      </c>
      <c r="D17" s="24" t="s">
        <v>468</v>
      </c>
      <c r="E17" s="28">
        <v>1520</v>
      </c>
      <c r="F17" s="28">
        <f t="shared" si="0"/>
        <v>319.2</v>
      </c>
      <c r="G17" s="28">
        <f t="shared" si="1"/>
        <v>1839.2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oton">
                <anchor moveWithCells="1" sizeWithCells="1">
                  <from>
                    <xdr:col>1</xdr:col>
                    <xdr:colOff>0</xdr:colOff>
                    <xdr:row>3</xdr:row>
                    <xdr:rowOff>0</xdr:rowOff>
                  </from>
                  <to>
                    <xdr:col>2</xdr:col>
                    <xdr:colOff>7620</xdr:colOff>
                    <xdr:row>5</xdr:row>
                    <xdr:rowOff>121920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vt:lpstr>
      <vt:lpstr>Cas pratique</vt:lpstr>
      <vt:lpstr>Clients</vt:lpstr>
      <vt:lpstr>Template</vt:lpstr>
      <vt:lpstr>Facturation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2023-02-16T10:46:53Z</cp:lastPrinted>
  <dcterms:created xsi:type="dcterms:W3CDTF">2015-02-18T19:07:06Z</dcterms:created>
  <dcterms:modified xsi:type="dcterms:W3CDTF">2023-02-16T10:50:55Z</dcterms:modified>
</cp:coreProperties>
</file>